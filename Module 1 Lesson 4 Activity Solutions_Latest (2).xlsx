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1L4/"/>
    </mc:Choice>
  </mc:AlternateContent>
  <xr:revisionPtr revIDLastSave="0" documentId="8_{40515A62-240D-4F14-9B73-0C64DE6CCD72}" xr6:coauthVersionLast="47" xr6:coauthVersionMax="47" xr10:uidLastSave="{00000000-0000-0000-0000-000000000000}"/>
  <bookViews>
    <workbookView xWindow="-108" yWindow="-108" windowWidth="23256" windowHeight="12456" activeTab="2" xr2:uid="{9ACB64D9-24B5-464D-B028-2DA7A284DC99}"/>
  </bookViews>
  <sheets>
    <sheet name="Activity 1" sheetId="5" r:id="rId1"/>
    <sheet name="Activity 2" sheetId="6" r:id="rId2"/>
    <sheet name="Activity 3" sheetId="4" r:id="rId3"/>
    <sheet name="Activity 4" sheetId="7" r:id="rId4"/>
  </sheets>
  <definedNames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'Activity 4'!$I$6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7" l="1"/>
  <c r="M2" i="7"/>
  <c r="L2" i="7"/>
  <c r="K2" i="7"/>
  <c r="J2" i="7"/>
  <c r="I2" i="7"/>
  <c r="C4" i="6"/>
  <c r="C3" i="6"/>
  <c r="B4" i="6"/>
  <c r="B3" i="6"/>
  <c r="C15" i="5"/>
  <c r="F18" i="5"/>
  <c r="E18" i="5"/>
  <c r="F17" i="5"/>
  <c r="E17" i="5"/>
  <c r="F16" i="5"/>
  <c r="E16" i="5"/>
  <c r="D16" i="5"/>
  <c r="C16" i="5"/>
  <c r="F15" i="5"/>
  <c r="E15" i="5"/>
  <c r="D15" i="5"/>
  <c r="J2" i="5" a="1"/>
  <c r="J2" i="5" s="1"/>
  <c r="G306" i="7" l="1"/>
  <c r="G311" i="7"/>
  <c r="G301" i="7"/>
  <c r="G304" i="7"/>
  <c r="G305" i="7"/>
  <c r="G302" i="7"/>
  <c r="G307" i="7"/>
  <c r="G308" i="7"/>
  <c r="G309" i="7"/>
  <c r="G310" i="7"/>
  <c r="G303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2" i="7"/>
  <c r="N7" i="4" l="1"/>
  <c r="N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<sst xmlns="http://schemas.openxmlformats.org/spreadsheetml/2006/main" count="66" uniqueCount="49">
  <si>
    <t>Age</t>
  </si>
  <si>
    <t>Price_Eur</t>
  </si>
  <si>
    <t>Slope</t>
  </si>
  <si>
    <t>Intercept</t>
  </si>
  <si>
    <t>Gender</t>
  </si>
  <si>
    <t>Children</t>
  </si>
  <si>
    <t>Smoker_Num</t>
  </si>
  <si>
    <t>Sales</t>
  </si>
  <si>
    <t>Price_Eur_Prediction</t>
  </si>
  <si>
    <t>Price_Eur_Prediction2</t>
  </si>
  <si>
    <t>Customer 1</t>
  </si>
  <si>
    <t>Customer 2</t>
  </si>
  <si>
    <t>Predicition</t>
  </si>
  <si>
    <t>Price_Eur_Out_Prediction</t>
  </si>
  <si>
    <t>Price_Eur_Out_Prediction2</t>
  </si>
  <si>
    <t>Width</t>
  </si>
  <si>
    <t>index</t>
  </si>
  <si>
    <t>employment</t>
  </si>
  <si>
    <t>pandemy</t>
  </si>
  <si>
    <t>q1</t>
  </si>
  <si>
    <t>q2</t>
  </si>
  <si>
    <t>sales</t>
  </si>
  <si>
    <t>Predicted Sales</t>
  </si>
  <si>
    <t>Formula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</si>
  <si>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</si>
  <si>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</si>
  <si>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</si>
  <si>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</si>
  <si>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</si>
  <si>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</si>
  <si>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</si>
  <si>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</si>
  <si>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</si>
  <si>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</si>
  <si>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</si>
  <si>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</si>
  <si>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</si>
  <si>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</si>
  <si>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</si>
  <si>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</si>
  <si>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</si>
  <si>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</si>
  <si>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</si>
  <si>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</si>
  <si>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</si>
  <si>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</si>
  <si>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</si>
  <si>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Prediction</t>
  </si>
  <si>
    <t>Sex_Num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</si>
</sst>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2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0" fontId="0" fillId="0" borderId="5" xfId="0" applyBorder="1"/>
    <xf numFmtId="0" fontId="1" fillId="0" borderId="0" xfId="0" applyFont="1"/>
    <xf numFmtId="0" fontId="0" fillId="0" borderId="6" xfId="0" applyBorder="1"/>
    <xf numFmtId="2" fontId="0" fillId="0" borderId="0" xfId="0" applyNumberFormat="1"/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4B31-1888-4F4B-A796-4790B5F66BB9}">
  <dimension ref="A1:K36"/>
  <sheetViews>
    <sheetView workbookViewId="0">
      <selection activeCell="J16" sqref="J16"/>
    </sheetView>
  </sheetViews>
  <sheetFormatPr defaultRowHeight="14.4" x14ac:dyDescent="0.3"/>
  <cols>
    <col min="1" max="1" width="4" bestFit="1" customWidth="1"/>
    <col min="2" max="2" width="8.6640625" bestFit="1" customWidth="1"/>
    <col min="3" max="3" width="18.109375" bestFit="1" customWidth="1"/>
    <col min="4" max="4" width="19.109375" bestFit="1" customWidth="1"/>
    <col min="5" max="5" width="22.21875" bestFit="1" customWidth="1"/>
    <col min="6" max="6" width="23.21875" bestFit="1" customWidth="1"/>
    <col min="10" max="11" width="12" bestFit="1" customWidth="1"/>
  </cols>
  <sheetData>
    <row r="1" spans="1:11" x14ac:dyDescent="0.3">
      <c r="A1" t="s">
        <v>0</v>
      </c>
      <c r="B1" t="s">
        <v>1</v>
      </c>
      <c r="C1" t="s">
        <v>8</v>
      </c>
      <c r="D1" t="s">
        <v>9</v>
      </c>
      <c r="E1" t="s">
        <v>13</v>
      </c>
      <c r="F1" t="s">
        <v>14</v>
      </c>
      <c r="J1" t="s">
        <v>2</v>
      </c>
      <c r="K1" t="s">
        <v>3</v>
      </c>
    </row>
    <row r="2" spans="1:11" x14ac:dyDescent="0.3">
      <c r="A2" s="1">
        <v>3</v>
      </c>
      <c r="B2" s="2">
        <v>2914.35</v>
      </c>
      <c r="C2" s="2">
        <v>2914.35</v>
      </c>
      <c r="D2" s="2">
        <v>2914.35</v>
      </c>
      <c r="E2" s="2">
        <v>2914.35</v>
      </c>
      <c r="F2" s="2">
        <v>2914.35</v>
      </c>
      <c r="J2" s="5" cm="1">
        <f t="array" ref="J2:K2">LINEST($B$2:$B$14,$A$2:$A$14)</f>
        <v>1.0206610576922921</v>
      </c>
      <c r="K2">
        <v>2593.9716225961542</v>
      </c>
    </row>
    <row r="3" spans="1:11" x14ac:dyDescent="0.3">
      <c r="A3" s="1">
        <v>24</v>
      </c>
      <c r="B3" s="2">
        <v>1927.28</v>
      </c>
      <c r="C3" s="2">
        <v>1927.28</v>
      </c>
      <c r="D3" s="2">
        <v>1927.28</v>
      </c>
      <c r="E3" s="2">
        <v>1927.28</v>
      </c>
      <c r="F3" s="2">
        <v>1927.28</v>
      </c>
    </row>
    <row r="4" spans="1:11" x14ac:dyDescent="0.3">
      <c r="A4" s="1">
        <v>20</v>
      </c>
      <c r="B4" s="2">
        <v>2579.31</v>
      </c>
      <c r="C4" s="2">
        <v>2579.31</v>
      </c>
      <c r="D4" s="2">
        <v>2579.31</v>
      </c>
      <c r="E4" s="2">
        <v>2579.31</v>
      </c>
      <c r="F4" s="2">
        <v>2579.31</v>
      </c>
    </row>
    <row r="5" spans="1:11" x14ac:dyDescent="0.3">
      <c r="A5" s="1">
        <v>16</v>
      </c>
      <c r="B5" s="2">
        <v>2758.32</v>
      </c>
      <c r="C5" s="2">
        <v>2758.32</v>
      </c>
      <c r="D5" s="2">
        <v>2758.32</v>
      </c>
      <c r="E5" s="2">
        <v>2758.32</v>
      </c>
      <c r="F5" s="2">
        <v>2758.32</v>
      </c>
    </row>
    <row r="6" spans="1:11" x14ac:dyDescent="0.3">
      <c r="A6" s="1">
        <v>18</v>
      </c>
      <c r="B6" s="2">
        <v>1999.33</v>
      </c>
      <c r="C6" s="2">
        <v>1999.33</v>
      </c>
      <c r="D6" s="2">
        <v>1999.33</v>
      </c>
      <c r="E6" s="2">
        <v>1999.33</v>
      </c>
      <c r="F6" s="2">
        <v>1999.33</v>
      </c>
    </row>
    <row r="7" spans="1:11" x14ac:dyDescent="0.3">
      <c r="A7" s="1">
        <v>5</v>
      </c>
      <c r="B7" s="2">
        <v>3209.19</v>
      </c>
      <c r="C7" s="2">
        <v>3209.19</v>
      </c>
      <c r="D7" s="2">
        <v>3209.19</v>
      </c>
      <c r="E7" s="2">
        <v>3209.19</v>
      </c>
      <c r="F7" s="2">
        <v>3209.19</v>
      </c>
    </row>
    <row r="8" spans="1:11" x14ac:dyDescent="0.3">
      <c r="A8" s="1">
        <v>8</v>
      </c>
      <c r="B8" s="2">
        <v>3440.35</v>
      </c>
      <c r="C8" s="2">
        <v>3440.35</v>
      </c>
      <c r="D8" s="2">
        <v>3440.35</v>
      </c>
      <c r="E8" s="2">
        <v>3440.35</v>
      </c>
      <c r="F8" s="2">
        <v>3440.35</v>
      </c>
    </row>
    <row r="9" spans="1:11" x14ac:dyDescent="0.3">
      <c r="A9" s="1">
        <v>27</v>
      </c>
      <c r="B9" s="2">
        <v>3096.31</v>
      </c>
      <c r="C9" s="2">
        <v>3096.31</v>
      </c>
      <c r="D9" s="2">
        <v>3096.31</v>
      </c>
      <c r="E9" s="2">
        <v>3096.31</v>
      </c>
      <c r="F9" s="2">
        <v>3096.31</v>
      </c>
    </row>
    <row r="10" spans="1:11" x14ac:dyDescent="0.3">
      <c r="A10" s="1">
        <v>5</v>
      </c>
      <c r="B10" s="2">
        <v>1664.25</v>
      </c>
      <c r="C10" s="2">
        <v>1664.25</v>
      </c>
      <c r="D10" s="2">
        <v>1664.25</v>
      </c>
      <c r="E10" s="2">
        <v>1664.25</v>
      </c>
      <c r="F10" s="2">
        <v>1664.25</v>
      </c>
    </row>
    <row r="11" spans="1:11" x14ac:dyDescent="0.3">
      <c r="A11" s="1">
        <v>20</v>
      </c>
      <c r="B11" s="2">
        <v>3414.19</v>
      </c>
      <c r="C11" s="2">
        <v>3414.19</v>
      </c>
      <c r="D11" s="2">
        <v>3414.19</v>
      </c>
      <c r="E11" s="2">
        <v>3414.19</v>
      </c>
      <c r="F11" s="2">
        <v>3414.19</v>
      </c>
    </row>
    <row r="12" spans="1:11" x14ac:dyDescent="0.3">
      <c r="A12" s="1">
        <v>18</v>
      </c>
      <c r="B12" s="2">
        <v>1922.32</v>
      </c>
      <c r="C12" s="2">
        <v>1922.32</v>
      </c>
      <c r="D12" s="2">
        <v>1922.32</v>
      </c>
      <c r="E12" s="2">
        <v>1922.32</v>
      </c>
      <c r="F12" s="2">
        <v>1922.32</v>
      </c>
    </row>
    <row r="13" spans="1:11" x14ac:dyDescent="0.3">
      <c r="A13" s="1">
        <v>7</v>
      </c>
      <c r="B13" s="2">
        <v>2077.23</v>
      </c>
      <c r="C13" s="2">
        <v>2077.23</v>
      </c>
      <c r="D13" s="2">
        <v>2077.23</v>
      </c>
      <c r="E13" s="2">
        <v>2077.23</v>
      </c>
      <c r="F13" s="2">
        <v>2077.23</v>
      </c>
    </row>
    <row r="14" spans="1:11" ht="15" thickBot="1" x14ac:dyDescent="0.35">
      <c r="A14" s="3">
        <v>24</v>
      </c>
      <c r="B14" s="4">
        <v>2918.23</v>
      </c>
      <c r="C14" s="4">
        <v>2918.23</v>
      </c>
      <c r="D14" s="4">
        <v>2918.23</v>
      </c>
      <c r="E14" s="4">
        <v>2918.23</v>
      </c>
      <c r="F14" s="4">
        <v>2918.23</v>
      </c>
    </row>
    <row r="15" spans="1:11" x14ac:dyDescent="0.3">
      <c r="A15">
        <v>5</v>
      </c>
      <c r="C15" s="8">
        <f>$K$2+$J$2*$A15</f>
        <v>2599.0749278846156</v>
      </c>
      <c r="D15" s="8">
        <f>_xlfn.FORECAST.LINEAR($A15,$B$2:$B$14,$A$2:$A$14)</f>
        <v>2599.0749278846156</v>
      </c>
      <c r="E15" s="8">
        <f>$K$2+$J$2*$A15</f>
        <v>2599.0749278846156</v>
      </c>
      <c r="F15" s="8">
        <f>_xlfn.FORECAST.LINEAR($A15,$B$2:$B$14,$A$2:$A$14)</f>
        <v>2599.0749278846156</v>
      </c>
    </row>
    <row r="16" spans="1:11" x14ac:dyDescent="0.3">
      <c r="A16">
        <v>11</v>
      </c>
      <c r="C16" s="8">
        <f>$K$2+$J$2*$A16</f>
        <v>2605.1988942307694</v>
      </c>
      <c r="D16" s="8">
        <f>_xlfn.FORECAST.LINEAR($A16,$B$2:$B$14,$A$2:$A$14)</f>
        <v>2605.1988942307698</v>
      </c>
      <c r="E16" s="8">
        <f>$K$2+$J$2*$A16</f>
        <v>2605.1988942307694</v>
      </c>
      <c r="F16" s="8">
        <f>_xlfn.FORECAST.LINEAR($A16,$B$2:$B$14,$A$2:$A$14)</f>
        <v>2605.1988942307698</v>
      </c>
    </row>
    <row r="17" spans="1:6" x14ac:dyDescent="0.3">
      <c r="A17">
        <v>2</v>
      </c>
      <c r="C17" s="8"/>
      <c r="D17" s="8"/>
      <c r="E17" s="8">
        <f t="shared" ref="E17:E18" si="0">$K$2+$J$2*$A17</f>
        <v>2596.0129447115387</v>
      </c>
      <c r="F17" s="8">
        <f>_xlfn.FORECAST.LINEAR($A17,$B$2:$B$14,$A$2:$A$14)</f>
        <v>2596.0129447115387</v>
      </c>
    </row>
    <row r="18" spans="1:6" x14ac:dyDescent="0.3">
      <c r="A18">
        <v>34</v>
      </c>
      <c r="C18" s="8"/>
      <c r="D18" s="8"/>
      <c r="E18" s="8">
        <f t="shared" si="0"/>
        <v>2628.6740985576921</v>
      </c>
      <c r="F18" s="8">
        <f>_xlfn.FORECAST.LINEAR($A18,$B$2:$B$14,$A$2:$A$14)</f>
        <v>2628.674098557693</v>
      </c>
    </row>
    <row r="20" spans="1:6" x14ac:dyDescent="0.3">
      <c r="B20" s="8"/>
      <c r="C20" s="8"/>
      <c r="D20" s="8"/>
      <c r="E20" s="8"/>
      <c r="F20" s="8"/>
    </row>
    <row r="21" spans="1:6" x14ac:dyDescent="0.3">
      <c r="B21" s="8"/>
      <c r="C21" s="8"/>
      <c r="D21" s="8"/>
      <c r="E21" s="8"/>
      <c r="F21" s="8"/>
    </row>
    <row r="22" spans="1:6" x14ac:dyDescent="0.3">
      <c r="B22" s="8"/>
      <c r="C22" s="8"/>
      <c r="D22" s="8"/>
      <c r="E22" s="8"/>
      <c r="F22" s="8"/>
    </row>
    <row r="23" spans="1:6" x14ac:dyDescent="0.3">
      <c r="B23" s="8"/>
      <c r="C23" s="8"/>
      <c r="D23" s="8"/>
      <c r="E23" s="8"/>
      <c r="F23" s="8"/>
    </row>
    <row r="24" spans="1:6" x14ac:dyDescent="0.3">
      <c r="B24" s="8"/>
      <c r="C24" s="8"/>
      <c r="D24" s="8"/>
      <c r="E24" s="8"/>
      <c r="F24" s="8"/>
    </row>
    <row r="25" spans="1:6" x14ac:dyDescent="0.3">
      <c r="B25" s="8"/>
      <c r="C25" s="8"/>
      <c r="D25" s="8"/>
      <c r="E25" s="8"/>
      <c r="F25" s="8"/>
    </row>
    <row r="26" spans="1:6" x14ac:dyDescent="0.3">
      <c r="B26" s="8"/>
      <c r="C26" s="8"/>
      <c r="D26" s="8"/>
      <c r="E26" s="8"/>
      <c r="F26" s="8"/>
    </row>
    <row r="27" spans="1:6" x14ac:dyDescent="0.3">
      <c r="B27" s="8"/>
      <c r="C27" s="8"/>
      <c r="D27" s="8"/>
      <c r="E27" s="8"/>
      <c r="F27" s="8"/>
    </row>
    <row r="28" spans="1:6" x14ac:dyDescent="0.3">
      <c r="B28" s="8"/>
      <c r="C28" s="8"/>
      <c r="D28" s="8"/>
      <c r="E28" s="8"/>
      <c r="F28" s="8"/>
    </row>
    <row r="29" spans="1:6" x14ac:dyDescent="0.3">
      <c r="B29" s="8"/>
      <c r="C29" s="8"/>
      <c r="D29" s="8"/>
      <c r="E29" s="8"/>
      <c r="F29" s="8"/>
    </row>
    <row r="30" spans="1:6" x14ac:dyDescent="0.3">
      <c r="B30" s="8"/>
      <c r="C30" s="8"/>
      <c r="D30" s="8"/>
      <c r="E30" s="8"/>
      <c r="F30" s="8"/>
    </row>
    <row r="31" spans="1:6" x14ac:dyDescent="0.3">
      <c r="B31" s="8"/>
      <c r="C31" s="8"/>
      <c r="D31" s="8"/>
      <c r="E31" s="8"/>
      <c r="F31" s="8"/>
    </row>
    <row r="32" spans="1:6" x14ac:dyDescent="0.3">
      <c r="B32" s="8"/>
      <c r="C32" s="8"/>
      <c r="D32" s="8"/>
      <c r="E32" s="8"/>
      <c r="F32" s="8"/>
    </row>
    <row r="33" spans="3:6" x14ac:dyDescent="0.3">
      <c r="C33" s="8"/>
      <c r="D33" s="8"/>
      <c r="E33" s="8"/>
      <c r="F33" s="8"/>
    </row>
    <row r="34" spans="3:6" x14ac:dyDescent="0.3">
      <c r="C34" s="8"/>
      <c r="D34" s="8"/>
      <c r="E34" s="8"/>
      <c r="F34" s="8"/>
    </row>
    <row r="35" spans="3:6" x14ac:dyDescent="0.3">
      <c r="E35" s="8"/>
      <c r="F35" s="8"/>
    </row>
    <row r="36" spans="3:6" x14ac:dyDescent="0.3">
      <c r="E36" s="8"/>
      <c r="F3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2C65-09F8-41EF-AC7E-0A8731A112A6}">
  <dimension ref="A1:C5"/>
  <sheetViews>
    <sheetView workbookViewId="0">
      <selection activeCell="C16" sqref="C16"/>
    </sheetView>
  </sheetViews>
  <sheetFormatPr defaultRowHeight="14.4" x14ac:dyDescent="0.3"/>
  <sheetData>
    <row r="1" spans="1:3" x14ac:dyDescent="0.3">
      <c r="A1" t="s">
        <v>47</v>
      </c>
      <c r="B1">
        <v>2628.68</v>
      </c>
      <c r="C1">
        <v>2628.68</v>
      </c>
    </row>
    <row r="2" spans="1:3" x14ac:dyDescent="0.3">
      <c r="B2">
        <v>500</v>
      </c>
      <c r="C2">
        <v>2500</v>
      </c>
    </row>
    <row r="3" spans="1:3" x14ac:dyDescent="0.3">
      <c r="B3">
        <f>B1+B2</f>
        <v>3128.68</v>
      </c>
      <c r="C3">
        <f>C1+C2</f>
        <v>5128.68</v>
      </c>
    </row>
    <row r="4" spans="1:3" x14ac:dyDescent="0.3">
      <c r="B4">
        <f>B1-B2</f>
        <v>2128.6799999999998</v>
      </c>
      <c r="C4">
        <f>C1-C2</f>
        <v>128.67999999999984</v>
      </c>
    </row>
    <row r="5" spans="1:3" x14ac:dyDescent="0.3">
      <c r="A5" t="s">
        <v>15</v>
      </c>
      <c r="B5">
        <v>1000</v>
      </c>
      <c r="C5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7665-4B03-417D-854A-3392998D3A11}">
  <dimension ref="A1:N21"/>
  <sheetViews>
    <sheetView tabSelected="1" workbookViewId="0">
      <selection activeCell="L8" sqref="L8"/>
    </sheetView>
  </sheetViews>
  <sheetFormatPr defaultRowHeight="14.4" x14ac:dyDescent="0.3"/>
  <cols>
    <col min="1" max="1" width="6.88671875" bestFit="1" customWidth="1"/>
    <col min="2" max="2" width="7.6640625" bestFit="1" customWidth="1"/>
    <col min="3" max="3" width="8.6640625" bestFit="1" customWidth="1"/>
    <col min="4" max="4" width="12" bestFit="1" customWidth="1"/>
    <col min="5" max="5" width="5.109375" bestFit="1" customWidth="1"/>
    <col min="8" max="8" width="17.44140625" bestFit="1" customWidth="1"/>
    <col min="9" max="9" width="12.6640625" bestFit="1" customWidth="1"/>
    <col min="10" max="10" width="13.44140625" bestFit="1" customWidth="1"/>
    <col min="11" max="11" width="12.6640625" bestFit="1" customWidth="1"/>
    <col min="12" max="12" width="12" bestFit="1" customWidth="1"/>
    <col min="13" max="13" width="12.6640625" bestFit="1" customWidth="1"/>
    <col min="14" max="14" width="12" bestFit="1" customWidth="1"/>
    <col min="15" max="15" width="12.6640625" bestFit="1" customWidth="1"/>
    <col min="16" max="16" width="12.109375" bestFit="1" customWidth="1"/>
  </cols>
  <sheetData>
    <row r="1" spans="1:14" x14ac:dyDescent="0.3">
      <c r="A1" t="s">
        <v>4</v>
      </c>
      <c r="B1" t="s">
        <v>5</v>
      </c>
      <c r="C1" t="s">
        <v>48</v>
      </c>
      <c r="D1" t="s">
        <v>6</v>
      </c>
      <c r="E1" t="s">
        <v>7</v>
      </c>
      <c r="H1" t="s">
        <v>3</v>
      </c>
      <c r="I1" t="s">
        <v>4</v>
      </c>
      <c r="J1" t="s">
        <v>5</v>
      </c>
      <c r="K1" t="s">
        <v>48</v>
      </c>
      <c r="L1" t="s">
        <v>6</v>
      </c>
      <c r="N1" t="s">
        <v>12</v>
      </c>
    </row>
    <row r="2" spans="1:14" x14ac:dyDescent="0.3">
      <c r="A2">
        <v>1</v>
      </c>
      <c r="B2">
        <v>3</v>
      </c>
      <c r="C2">
        <v>0</v>
      </c>
      <c r="D2">
        <v>1</v>
      </c>
      <c r="E2">
        <v>507</v>
      </c>
      <c r="H2">
        <v>916.61350204576433</v>
      </c>
      <c r="I2">
        <v>22.085088649795445</v>
      </c>
      <c r="J2">
        <v>-81.8884679496893</v>
      </c>
      <c r="K2">
        <v>-123.16449462039705</v>
      </c>
      <c r="L2">
        <v>-2.7342779208971453</v>
      </c>
    </row>
    <row r="3" spans="1:14" x14ac:dyDescent="0.3">
      <c r="A3">
        <v>0</v>
      </c>
      <c r="B3">
        <v>4</v>
      </c>
      <c r="C3">
        <v>0</v>
      </c>
      <c r="D3">
        <v>0</v>
      </c>
      <c r="E3">
        <v>696</v>
      </c>
    </row>
    <row r="4" spans="1:14" x14ac:dyDescent="0.3">
      <c r="A4">
        <v>0</v>
      </c>
      <c r="B4">
        <v>4</v>
      </c>
      <c r="C4">
        <v>1</v>
      </c>
      <c r="D4">
        <v>0</v>
      </c>
      <c r="E4">
        <v>301</v>
      </c>
    </row>
    <row r="5" spans="1:14" x14ac:dyDescent="0.3">
      <c r="A5">
        <v>0</v>
      </c>
      <c r="B5">
        <v>4</v>
      </c>
      <c r="C5">
        <v>1</v>
      </c>
      <c r="D5">
        <v>1</v>
      </c>
      <c r="E5">
        <v>444</v>
      </c>
      <c r="H5" t="s">
        <v>10</v>
      </c>
      <c r="I5">
        <v>0</v>
      </c>
      <c r="J5">
        <v>3</v>
      </c>
      <c r="K5">
        <v>0</v>
      </c>
      <c r="L5">
        <v>1</v>
      </c>
      <c r="N5">
        <f>H2+I2*I5+J2*J5+K2*K5+L2*L5</f>
        <v>668.21382027579932</v>
      </c>
    </row>
    <row r="6" spans="1:14" x14ac:dyDescent="0.3">
      <c r="A6">
        <v>0</v>
      </c>
      <c r="B6">
        <v>3</v>
      </c>
      <c r="C6">
        <v>0</v>
      </c>
      <c r="D6">
        <v>0</v>
      </c>
      <c r="E6">
        <v>646</v>
      </c>
    </row>
    <row r="7" spans="1:14" x14ac:dyDescent="0.3">
      <c r="A7">
        <v>0</v>
      </c>
      <c r="B7">
        <v>3</v>
      </c>
      <c r="C7">
        <v>0</v>
      </c>
      <c r="D7">
        <v>1</v>
      </c>
      <c r="E7">
        <v>612</v>
      </c>
      <c r="H7" t="s">
        <v>11</v>
      </c>
      <c r="I7">
        <v>1</v>
      </c>
      <c r="J7">
        <v>2</v>
      </c>
      <c r="K7">
        <v>0</v>
      </c>
      <c r="L7">
        <v>0</v>
      </c>
      <c r="N7">
        <f>H2+I2*I7+J2*J7+K2*K7+L2*L7</f>
        <v>774.9216547961812</v>
      </c>
    </row>
    <row r="8" spans="1:14" x14ac:dyDescent="0.3">
      <c r="A8">
        <v>1</v>
      </c>
      <c r="B8">
        <v>2</v>
      </c>
      <c r="C8">
        <v>0</v>
      </c>
      <c r="D8">
        <v>0</v>
      </c>
      <c r="E8">
        <v>606</v>
      </c>
    </row>
    <row r="9" spans="1:14" x14ac:dyDescent="0.3">
      <c r="A9">
        <v>1</v>
      </c>
      <c r="B9">
        <v>1</v>
      </c>
      <c r="C9">
        <v>0</v>
      </c>
      <c r="D9">
        <v>0</v>
      </c>
      <c r="E9">
        <v>922</v>
      </c>
    </row>
    <row r="10" spans="1:14" x14ac:dyDescent="0.3">
      <c r="A10">
        <v>1</v>
      </c>
      <c r="B10">
        <v>3</v>
      </c>
      <c r="C10">
        <v>0</v>
      </c>
      <c r="D10">
        <v>0</v>
      </c>
      <c r="E10">
        <v>910</v>
      </c>
    </row>
    <row r="11" spans="1:14" x14ac:dyDescent="0.3">
      <c r="A11">
        <v>1</v>
      </c>
      <c r="B11">
        <v>3</v>
      </c>
      <c r="C11">
        <v>1</v>
      </c>
      <c r="D11">
        <v>1</v>
      </c>
      <c r="E11">
        <v>559</v>
      </c>
    </row>
    <row r="12" spans="1:14" x14ac:dyDescent="0.3">
      <c r="A12">
        <v>0</v>
      </c>
      <c r="B12">
        <v>3</v>
      </c>
      <c r="C12">
        <v>0</v>
      </c>
      <c r="D12">
        <v>1</v>
      </c>
      <c r="E12">
        <v>943</v>
      </c>
    </row>
    <row r="13" spans="1:14" x14ac:dyDescent="0.3">
      <c r="A13">
        <v>1</v>
      </c>
      <c r="B13">
        <v>3</v>
      </c>
      <c r="C13">
        <v>0</v>
      </c>
      <c r="D13">
        <v>1</v>
      </c>
      <c r="E13">
        <v>596</v>
      </c>
    </row>
    <row r="14" spans="1:14" x14ac:dyDescent="0.3">
      <c r="A14">
        <v>1</v>
      </c>
      <c r="B14">
        <v>3</v>
      </c>
      <c r="C14">
        <v>1</v>
      </c>
      <c r="D14">
        <v>0</v>
      </c>
      <c r="E14">
        <v>688</v>
      </c>
    </row>
    <row r="15" spans="1:14" x14ac:dyDescent="0.3">
      <c r="A15">
        <v>1</v>
      </c>
      <c r="B15">
        <v>1</v>
      </c>
      <c r="C15">
        <v>0</v>
      </c>
      <c r="D15">
        <v>0</v>
      </c>
      <c r="E15">
        <v>867</v>
      </c>
    </row>
    <row r="16" spans="1:14" x14ac:dyDescent="0.3">
      <c r="A16">
        <v>0</v>
      </c>
      <c r="B16">
        <v>2</v>
      </c>
      <c r="C16">
        <v>1</v>
      </c>
      <c r="D16">
        <v>0</v>
      </c>
      <c r="E16">
        <v>602</v>
      </c>
    </row>
    <row r="17" spans="1:5" x14ac:dyDescent="0.3">
      <c r="A17">
        <v>1</v>
      </c>
      <c r="B17">
        <v>3</v>
      </c>
      <c r="C17">
        <v>1</v>
      </c>
      <c r="D17">
        <v>1</v>
      </c>
      <c r="E17">
        <v>706</v>
      </c>
    </row>
    <row r="18" spans="1:5" x14ac:dyDescent="0.3">
      <c r="A18">
        <v>1</v>
      </c>
      <c r="B18">
        <v>4</v>
      </c>
      <c r="C18">
        <v>0</v>
      </c>
      <c r="D18">
        <v>0</v>
      </c>
      <c r="E18">
        <v>569</v>
      </c>
    </row>
    <row r="19" spans="1:5" x14ac:dyDescent="0.3">
      <c r="A19">
        <v>0</v>
      </c>
      <c r="B19">
        <v>2</v>
      </c>
      <c r="C19">
        <v>0</v>
      </c>
      <c r="D19">
        <v>0</v>
      </c>
      <c r="E19">
        <v>664</v>
      </c>
    </row>
    <row r="20" spans="1:5" x14ac:dyDescent="0.3">
      <c r="A20">
        <v>1</v>
      </c>
      <c r="B20">
        <v>4</v>
      </c>
      <c r="C20">
        <v>0</v>
      </c>
      <c r="D20">
        <v>1</v>
      </c>
      <c r="E20">
        <v>593</v>
      </c>
    </row>
    <row r="21" spans="1:5" x14ac:dyDescent="0.3">
      <c r="A21">
        <v>1</v>
      </c>
      <c r="B21">
        <v>3</v>
      </c>
      <c r="C21">
        <v>1</v>
      </c>
      <c r="D21">
        <v>1</v>
      </c>
      <c r="E21">
        <v>530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6676-4709-456C-AAA4-B31A6D10683B}">
  <dimension ref="A1:Q311"/>
  <sheetViews>
    <sheetView workbookViewId="0">
      <selection activeCell="H2" sqref="H2"/>
    </sheetView>
  </sheetViews>
  <sheetFormatPr defaultRowHeight="14.4" x14ac:dyDescent="0.3"/>
  <cols>
    <col min="1" max="1" width="5.33203125" bestFit="1" customWidth="1"/>
    <col min="2" max="2" width="11.21875" bestFit="1" customWidth="1"/>
    <col min="3" max="3" width="8.44140625" bestFit="1" customWidth="1"/>
    <col min="4" max="5" width="3" bestFit="1" customWidth="1"/>
    <col min="6" max="6" width="5" bestFit="1" customWidth="1"/>
    <col min="7" max="7" width="13.33203125" bestFit="1" customWidth="1"/>
    <col min="8" max="8" width="7.6640625" bestFit="1" customWidth="1"/>
    <col min="9" max="9" width="12.6640625" bestFit="1" customWidth="1"/>
    <col min="10" max="10" width="12" bestFit="1" customWidth="1"/>
    <col min="11" max="11" width="11.21875" bestFit="1" customWidth="1"/>
    <col min="12" max="12" width="11" bestFit="1" customWidth="1"/>
    <col min="13" max="15" width="12.6640625" bestFit="1" customWidth="1"/>
  </cols>
  <sheetData>
    <row r="1" spans="1:14" s="6" customFormat="1" ht="15" thickBot="1" x14ac:dyDescent="0.3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t="s">
        <v>3</v>
      </c>
      <c r="J1" t="s">
        <v>16</v>
      </c>
      <c r="K1" t="s">
        <v>17</v>
      </c>
      <c r="L1" t="s">
        <v>18</v>
      </c>
      <c r="M1" t="s">
        <v>19</v>
      </c>
      <c r="N1" s="7" t="s">
        <v>20</v>
      </c>
    </row>
    <row r="2" spans="1:14" ht="15" thickBot="1" x14ac:dyDescent="0.35">
      <c r="A2">
        <v>1</v>
      </c>
      <c r="B2">
        <v>61.5</v>
      </c>
      <c r="C2">
        <v>0</v>
      </c>
      <c r="D2">
        <v>1</v>
      </c>
      <c r="E2">
        <v>0</v>
      </c>
      <c r="F2">
        <v>620</v>
      </c>
      <c r="G2">
        <f>$I$2+A2*$J$2+B2*$K$2+C2*$L$2+D2*$M$2+E2*$N$2</f>
        <v>1683.4284128477029</v>
      </c>
      <c r="I2">
        <f>J22</f>
        <v>2289.9936104588942</v>
      </c>
      <c r="J2">
        <f>J23</f>
        <v>-10.908700257832852</v>
      </c>
      <c r="K2">
        <f>J24</f>
        <v>0</v>
      </c>
      <c r="L2">
        <f>J25</f>
        <v>-635.57286828187875</v>
      </c>
      <c r="M2">
        <f>J26</f>
        <v>-595.65649735335819</v>
      </c>
      <c r="N2" s="7">
        <f>J27</f>
        <v>0</v>
      </c>
    </row>
    <row r="3" spans="1:14" x14ac:dyDescent="0.3">
      <c r="A3">
        <v>2</v>
      </c>
      <c r="B3">
        <v>61.3</v>
      </c>
      <c r="C3">
        <v>0</v>
      </c>
      <c r="D3">
        <v>1</v>
      </c>
      <c r="E3">
        <v>0</v>
      </c>
      <c r="F3">
        <v>585</v>
      </c>
      <c r="G3">
        <f t="shared" ref="G3:G66" si="0">$I$2+A3*$J$2+B3*$K$2+C3*$L$2+D3*$M$2+E3*$N$2</f>
        <v>1672.5197125898703</v>
      </c>
    </row>
    <row r="4" spans="1:14" x14ac:dyDescent="0.3">
      <c r="A4">
        <v>3</v>
      </c>
      <c r="B4">
        <v>61.5</v>
      </c>
      <c r="C4">
        <v>0</v>
      </c>
      <c r="D4">
        <v>1</v>
      </c>
      <c r="E4">
        <v>0</v>
      </c>
      <c r="F4">
        <v>643</v>
      </c>
      <c r="G4">
        <f t="shared" si="0"/>
        <v>1661.6110123320373</v>
      </c>
    </row>
    <row r="5" spans="1:14" x14ac:dyDescent="0.3">
      <c r="A5">
        <v>4</v>
      </c>
      <c r="B5">
        <v>61.6</v>
      </c>
      <c r="C5">
        <v>0</v>
      </c>
      <c r="D5">
        <v>0</v>
      </c>
      <c r="E5">
        <v>1</v>
      </c>
      <c r="F5">
        <v>706</v>
      </c>
      <c r="G5">
        <f t="shared" si="0"/>
        <v>2246.3588094275628</v>
      </c>
    </row>
    <row r="6" spans="1:14" x14ac:dyDescent="0.3">
      <c r="A6">
        <v>5</v>
      </c>
      <c r="B6">
        <v>61.5</v>
      </c>
      <c r="C6">
        <v>0</v>
      </c>
      <c r="D6">
        <v>0</v>
      </c>
      <c r="E6">
        <v>1</v>
      </c>
      <c r="F6">
        <v>660</v>
      </c>
      <c r="G6">
        <f t="shared" si="0"/>
        <v>2235.4501091697298</v>
      </c>
      <c r="I6" t="s">
        <v>24</v>
      </c>
    </row>
    <row r="7" spans="1:14" ht="15" thickBot="1" x14ac:dyDescent="0.35">
      <c r="A7">
        <v>6</v>
      </c>
      <c r="B7">
        <v>61.5</v>
      </c>
      <c r="C7">
        <v>0</v>
      </c>
      <c r="D7">
        <v>0</v>
      </c>
      <c r="E7">
        <v>1</v>
      </c>
      <c r="F7">
        <v>721</v>
      </c>
      <c r="G7">
        <f t="shared" si="0"/>
        <v>2224.5414089118972</v>
      </c>
    </row>
    <row r="8" spans="1:14" x14ac:dyDescent="0.3">
      <c r="A8">
        <v>7</v>
      </c>
      <c r="B8">
        <v>61.6</v>
      </c>
      <c r="C8">
        <v>0</v>
      </c>
      <c r="D8">
        <v>0</v>
      </c>
      <c r="E8">
        <v>0</v>
      </c>
      <c r="F8">
        <v>678</v>
      </c>
      <c r="G8">
        <f t="shared" si="0"/>
        <v>2213.6327086540641</v>
      </c>
      <c r="I8" s="10" t="s">
        <v>25</v>
      </c>
      <c r="J8" s="10"/>
    </row>
    <row r="9" spans="1:14" x14ac:dyDescent="0.3">
      <c r="A9">
        <v>8</v>
      </c>
      <c r="B9">
        <v>61.6</v>
      </c>
      <c r="C9">
        <v>0</v>
      </c>
      <c r="D9">
        <v>0</v>
      </c>
      <c r="E9">
        <v>0</v>
      </c>
      <c r="F9">
        <v>653</v>
      </c>
      <c r="G9">
        <f t="shared" si="0"/>
        <v>2202.7240083962315</v>
      </c>
      <c r="I9" t="s">
        <v>26</v>
      </c>
      <c r="J9">
        <v>0.43510605272299246</v>
      </c>
    </row>
    <row r="10" spans="1:14" x14ac:dyDescent="0.3">
      <c r="A10">
        <v>9</v>
      </c>
      <c r="B10">
        <v>61.4</v>
      </c>
      <c r="C10">
        <v>0</v>
      </c>
      <c r="D10">
        <v>0</v>
      </c>
      <c r="E10">
        <v>0</v>
      </c>
      <c r="F10">
        <v>638</v>
      </c>
      <c r="G10">
        <f t="shared" si="0"/>
        <v>2191.8153081383984</v>
      </c>
      <c r="I10" t="s">
        <v>27</v>
      </c>
      <c r="J10">
        <v>0.18931727711618349</v>
      </c>
    </row>
    <row r="11" spans="1:14" x14ac:dyDescent="0.3">
      <c r="A11">
        <v>3</v>
      </c>
      <c r="B11">
        <v>61.3</v>
      </c>
      <c r="C11">
        <v>0</v>
      </c>
      <c r="D11">
        <v>0</v>
      </c>
      <c r="E11">
        <v>0</v>
      </c>
      <c r="F11">
        <v>789</v>
      </c>
      <c r="G11">
        <f t="shared" si="0"/>
        <v>2257.2675096853955</v>
      </c>
      <c r="I11" t="s">
        <v>28</v>
      </c>
      <c r="J11">
        <v>0.17828758020619959</v>
      </c>
    </row>
    <row r="12" spans="1:14" x14ac:dyDescent="0.3">
      <c r="A12">
        <v>11</v>
      </c>
      <c r="B12">
        <v>61.4</v>
      </c>
      <c r="C12">
        <v>0</v>
      </c>
      <c r="D12">
        <v>0</v>
      </c>
      <c r="E12">
        <v>0</v>
      </c>
      <c r="F12">
        <v>1332</v>
      </c>
      <c r="G12">
        <f t="shared" si="0"/>
        <v>2169.9979076227328</v>
      </c>
      <c r="I12" t="s">
        <v>29</v>
      </c>
      <c r="J12">
        <v>646.82212848862639</v>
      </c>
    </row>
    <row r="13" spans="1:14" ht="15" thickBot="1" x14ac:dyDescent="0.35">
      <c r="A13">
        <v>12</v>
      </c>
      <c r="B13">
        <v>61.4</v>
      </c>
      <c r="C13">
        <v>0</v>
      </c>
      <c r="D13">
        <v>0</v>
      </c>
      <c r="E13">
        <v>0</v>
      </c>
      <c r="F13">
        <v>3226</v>
      </c>
      <c r="G13">
        <f t="shared" si="0"/>
        <v>2159.0892073649002</v>
      </c>
      <c r="I13" s="7" t="s">
        <v>30</v>
      </c>
      <c r="J13" s="7">
        <v>299</v>
      </c>
    </row>
    <row r="14" spans="1:14" x14ac:dyDescent="0.3">
      <c r="A14">
        <v>13</v>
      </c>
      <c r="B14">
        <v>61.4</v>
      </c>
      <c r="C14">
        <v>0</v>
      </c>
      <c r="D14">
        <v>1</v>
      </c>
      <c r="E14">
        <v>0</v>
      </c>
      <c r="F14">
        <v>598</v>
      </c>
      <c r="G14">
        <f t="shared" si="0"/>
        <v>1552.5240097537089</v>
      </c>
    </row>
    <row r="15" spans="1:14" ht="15" thickBot="1" x14ac:dyDescent="0.35">
      <c r="A15">
        <v>14</v>
      </c>
      <c r="B15">
        <v>61.4</v>
      </c>
      <c r="C15">
        <v>0</v>
      </c>
      <c r="D15">
        <v>1</v>
      </c>
      <c r="E15">
        <v>0</v>
      </c>
      <c r="F15">
        <v>576</v>
      </c>
      <c r="G15">
        <f t="shared" si="0"/>
        <v>1541.6153094958759</v>
      </c>
      <c r="I15" t="s">
        <v>31</v>
      </c>
    </row>
    <row r="16" spans="1:14" x14ac:dyDescent="0.3">
      <c r="A16">
        <v>15</v>
      </c>
      <c r="B16">
        <v>61.5</v>
      </c>
      <c r="C16">
        <v>0</v>
      </c>
      <c r="D16">
        <v>1</v>
      </c>
      <c r="E16">
        <v>0</v>
      </c>
      <c r="F16">
        <v>683</v>
      </c>
      <c r="G16">
        <f t="shared" si="0"/>
        <v>1530.7066092380433</v>
      </c>
      <c r="I16" s="9"/>
      <c r="J16" s="9" t="s">
        <v>35</v>
      </c>
      <c r="K16" s="9" t="s">
        <v>36</v>
      </c>
      <c r="L16" s="9" t="s">
        <v>37</v>
      </c>
      <c r="M16" s="9" t="s">
        <v>38</v>
      </c>
      <c r="N16" s="9" t="s">
        <v>39</v>
      </c>
    </row>
    <row r="17" spans="1:17" x14ac:dyDescent="0.3">
      <c r="A17">
        <v>16</v>
      </c>
      <c r="B17">
        <v>61.5</v>
      </c>
      <c r="C17">
        <v>0</v>
      </c>
      <c r="D17">
        <v>0</v>
      </c>
      <c r="E17">
        <v>1</v>
      </c>
      <c r="F17">
        <v>735</v>
      </c>
      <c r="G17">
        <f t="shared" si="0"/>
        <v>2115.4544063335684</v>
      </c>
      <c r="I17" t="s">
        <v>32</v>
      </c>
      <c r="J17">
        <v>4</v>
      </c>
      <c r="K17">
        <v>28724759.471471131</v>
      </c>
      <c r="L17">
        <v>7181189.8678677827</v>
      </c>
      <c r="M17">
        <v>17.164322706348951</v>
      </c>
      <c r="N17">
        <v>1.1505992589094159E-12</v>
      </c>
    </row>
    <row r="18" spans="1:17" x14ac:dyDescent="0.3">
      <c r="A18">
        <v>17</v>
      </c>
      <c r="B18">
        <v>61.7</v>
      </c>
      <c r="C18">
        <v>0</v>
      </c>
      <c r="D18">
        <v>0</v>
      </c>
      <c r="E18">
        <v>1</v>
      </c>
      <c r="F18">
        <v>685</v>
      </c>
      <c r="G18">
        <f t="shared" si="0"/>
        <v>2104.5457060757358</v>
      </c>
      <c r="I18" t="s">
        <v>33</v>
      </c>
      <c r="J18">
        <v>294</v>
      </c>
      <c r="K18">
        <v>123003386.57535177</v>
      </c>
      <c r="L18">
        <v>418378.86590255704</v>
      </c>
    </row>
    <row r="19" spans="1:17" ht="15" thickBot="1" x14ac:dyDescent="0.35">
      <c r="A19">
        <v>18</v>
      </c>
      <c r="B19">
        <v>61.8</v>
      </c>
      <c r="C19">
        <v>0</v>
      </c>
      <c r="D19">
        <v>0</v>
      </c>
      <c r="E19">
        <v>1</v>
      </c>
      <c r="F19">
        <v>722</v>
      </c>
      <c r="G19">
        <f t="shared" si="0"/>
        <v>2093.6370058179027</v>
      </c>
      <c r="I19" s="7" t="s">
        <v>34</v>
      </c>
      <c r="J19" s="7">
        <v>298</v>
      </c>
      <c r="K19" s="7">
        <v>151728146.04682291</v>
      </c>
      <c r="L19" s="7"/>
      <c r="M19" s="7"/>
      <c r="N19" s="7"/>
    </row>
    <row r="20" spans="1:17" ht="15" thickBot="1" x14ac:dyDescent="0.35">
      <c r="A20">
        <v>19</v>
      </c>
      <c r="B20">
        <v>61.8</v>
      </c>
      <c r="C20">
        <v>0</v>
      </c>
      <c r="D20">
        <v>0</v>
      </c>
      <c r="E20">
        <v>0</v>
      </c>
      <c r="F20">
        <v>745</v>
      </c>
      <c r="G20">
        <f t="shared" si="0"/>
        <v>2082.7283055600701</v>
      </c>
    </row>
    <row r="21" spans="1:17" x14ac:dyDescent="0.3">
      <c r="A21">
        <v>20</v>
      </c>
      <c r="B21">
        <v>62</v>
      </c>
      <c r="C21">
        <v>0</v>
      </c>
      <c r="D21">
        <v>0</v>
      </c>
      <c r="E21">
        <v>0</v>
      </c>
      <c r="F21">
        <v>682</v>
      </c>
      <c r="G21">
        <f t="shared" si="0"/>
        <v>2071.8196053022371</v>
      </c>
      <c r="I21" s="9"/>
      <c r="J21" s="9" t="s">
        <v>40</v>
      </c>
      <c r="K21" s="9" t="s">
        <v>29</v>
      </c>
      <c r="L21" s="9" t="s">
        <v>41</v>
      </c>
      <c r="M21" s="9" t="s">
        <v>42</v>
      </c>
      <c r="N21" s="9" t="s">
        <v>43</v>
      </c>
      <c r="O21" s="9" t="s">
        <v>44</v>
      </c>
      <c r="P21" s="9" t="s">
        <v>45</v>
      </c>
      <c r="Q21" s="9" t="s">
        <v>46</v>
      </c>
    </row>
    <row r="22" spans="1:17" x14ac:dyDescent="0.3">
      <c r="A22">
        <v>21</v>
      </c>
      <c r="B22">
        <v>61.7</v>
      </c>
      <c r="C22">
        <v>0</v>
      </c>
      <c r="D22">
        <v>0</v>
      </c>
      <c r="E22">
        <v>0</v>
      </c>
      <c r="F22">
        <v>671</v>
      </c>
      <c r="G22">
        <f t="shared" si="0"/>
        <v>2060.9109050444044</v>
      </c>
      <c r="I22" t="s">
        <v>3</v>
      </c>
      <c r="J22">
        <v>2289.9936104588942</v>
      </c>
      <c r="K22">
        <v>1134.3430520934974</v>
      </c>
      <c r="L22">
        <v>2.018784005625613</v>
      </c>
      <c r="M22">
        <v>4.4417241307075993E-2</v>
      </c>
      <c r="N22">
        <v>57.531969744695289</v>
      </c>
      <c r="O22">
        <v>4522.4552511730926</v>
      </c>
      <c r="P22">
        <v>57.531969744695289</v>
      </c>
      <c r="Q22">
        <v>4522.4552511730926</v>
      </c>
    </row>
    <row r="23" spans="1:17" x14ac:dyDescent="0.3">
      <c r="A23">
        <v>22</v>
      </c>
      <c r="B23">
        <v>61.8</v>
      </c>
      <c r="C23">
        <v>0</v>
      </c>
      <c r="D23">
        <v>0</v>
      </c>
      <c r="E23">
        <v>0</v>
      </c>
      <c r="F23">
        <v>799</v>
      </c>
      <c r="G23">
        <f t="shared" si="0"/>
        <v>2050.0022047865714</v>
      </c>
      <c r="I23" t="s">
        <v>17</v>
      </c>
      <c r="J23">
        <v>-10.908700257832852</v>
      </c>
      <c r="K23">
        <v>18.379938320799571</v>
      </c>
      <c r="L23">
        <v>-0.59351125490383572</v>
      </c>
      <c r="M23">
        <v>0.55329538219869012</v>
      </c>
      <c r="N23">
        <v>-47.081626238337662</v>
      </c>
      <c r="O23">
        <v>25.264225722671956</v>
      </c>
      <c r="P23">
        <v>-47.081626238337662</v>
      </c>
      <c r="Q23">
        <v>25.264225722671956</v>
      </c>
    </row>
    <row r="24" spans="1:17" x14ac:dyDescent="0.3">
      <c r="A24">
        <v>23</v>
      </c>
      <c r="B24">
        <v>61.9</v>
      </c>
      <c r="C24">
        <v>0</v>
      </c>
      <c r="D24">
        <v>0</v>
      </c>
      <c r="E24">
        <v>0</v>
      </c>
      <c r="F24">
        <v>1480</v>
      </c>
      <c r="G24">
        <f t="shared" si="0"/>
        <v>2039.0935045287385</v>
      </c>
      <c r="I24" t="s">
        <v>18</v>
      </c>
      <c r="J24">
        <v>0</v>
      </c>
      <c r="K24">
        <v>0</v>
      </c>
      <c r="L24">
        <v>65535</v>
      </c>
      <c r="M24" t="e">
        <v>#NUM!</v>
      </c>
      <c r="N24">
        <v>0</v>
      </c>
      <c r="O24">
        <v>0</v>
      </c>
      <c r="P24">
        <v>0</v>
      </c>
      <c r="Q24">
        <v>0</v>
      </c>
    </row>
    <row r="25" spans="1:17" x14ac:dyDescent="0.3">
      <c r="A25">
        <v>24</v>
      </c>
      <c r="B25">
        <v>62</v>
      </c>
      <c r="C25">
        <v>0</v>
      </c>
      <c r="D25">
        <v>0</v>
      </c>
      <c r="E25">
        <v>0</v>
      </c>
      <c r="F25">
        <v>3275</v>
      </c>
      <c r="G25">
        <f t="shared" si="0"/>
        <v>2028.1848042709057</v>
      </c>
      <c r="I25" t="s">
        <v>19</v>
      </c>
      <c r="J25">
        <v>-635.57286828187875</v>
      </c>
      <c r="K25">
        <v>91.583147777262127</v>
      </c>
      <c r="L25">
        <v>-6.9398451975864068</v>
      </c>
      <c r="M25" t="e">
        <v>#NUM!</v>
      </c>
      <c r="N25">
        <v>-815.81451913984642</v>
      </c>
      <c r="O25">
        <v>-455.33121742391108</v>
      </c>
      <c r="P25">
        <v>-815.81451913984642</v>
      </c>
      <c r="Q25">
        <v>-455.33121742391108</v>
      </c>
    </row>
    <row r="26" spans="1:17" ht="15" thickBot="1" x14ac:dyDescent="0.35">
      <c r="A26">
        <v>25</v>
      </c>
      <c r="B26">
        <v>62.2</v>
      </c>
      <c r="C26">
        <v>0</v>
      </c>
      <c r="D26">
        <v>1</v>
      </c>
      <c r="E26">
        <v>0</v>
      </c>
      <c r="F26">
        <v>618</v>
      </c>
      <c r="G26">
        <f t="shared" si="0"/>
        <v>1421.6196066597147</v>
      </c>
      <c r="I26" s="7" t="s">
        <v>20</v>
      </c>
      <c r="J26" s="7">
        <v>-595.65649735335819</v>
      </c>
      <c r="K26" s="7">
        <v>91.579727422840662</v>
      </c>
      <c r="L26" s="7">
        <v>-6.5042396839979792</v>
      </c>
      <c r="M26" s="7">
        <v>3.3507310929795363E-10</v>
      </c>
      <c r="N26" s="7">
        <v>-775.89141672914377</v>
      </c>
      <c r="O26" s="7">
        <v>-415.42157797757261</v>
      </c>
      <c r="P26" s="7">
        <v>-775.89141672914377</v>
      </c>
      <c r="Q26" s="7">
        <v>-415.42157797757261</v>
      </c>
    </row>
    <row r="27" spans="1:17" x14ac:dyDescent="0.3">
      <c r="A27">
        <v>26</v>
      </c>
      <c r="B27">
        <v>62.3</v>
      </c>
      <c r="C27">
        <v>0</v>
      </c>
      <c r="D27">
        <v>1</v>
      </c>
      <c r="E27">
        <v>0</v>
      </c>
      <c r="F27">
        <v>637</v>
      </c>
      <c r="G27">
        <f t="shared" si="0"/>
        <v>1410.7109064018819</v>
      </c>
    </row>
    <row r="28" spans="1:17" x14ac:dyDescent="0.3">
      <c r="A28">
        <v>27</v>
      </c>
      <c r="B28">
        <v>62.1</v>
      </c>
      <c r="C28">
        <v>0</v>
      </c>
      <c r="D28">
        <v>1</v>
      </c>
      <c r="E28">
        <v>0</v>
      </c>
      <c r="F28">
        <v>819</v>
      </c>
      <c r="G28">
        <f t="shared" si="0"/>
        <v>1399.802206144049</v>
      </c>
    </row>
    <row r="29" spans="1:17" x14ac:dyDescent="0.3">
      <c r="A29">
        <v>28</v>
      </c>
      <c r="B29">
        <v>62.3</v>
      </c>
      <c r="C29">
        <v>0</v>
      </c>
      <c r="D29">
        <v>0</v>
      </c>
      <c r="E29">
        <v>1</v>
      </c>
      <c r="F29">
        <v>782</v>
      </c>
      <c r="G29">
        <f t="shared" si="0"/>
        <v>1984.5500032395744</v>
      </c>
    </row>
    <row r="30" spans="1:17" x14ac:dyDescent="0.3">
      <c r="A30">
        <v>29</v>
      </c>
      <c r="B30">
        <v>62.5</v>
      </c>
      <c r="C30">
        <v>0</v>
      </c>
      <c r="D30">
        <v>0</v>
      </c>
      <c r="E30">
        <v>1</v>
      </c>
      <c r="F30">
        <v>742</v>
      </c>
      <c r="G30">
        <f t="shared" si="0"/>
        <v>1973.6413029817415</v>
      </c>
    </row>
    <row r="31" spans="1:17" x14ac:dyDescent="0.3">
      <c r="A31">
        <v>30</v>
      </c>
      <c r="B31">
        <v>62.3</v>
      </c>
      <c r="C31">
        <v>0</v>
      </c>
      <c r="D31">
        <v>0</v>
      </c>
      <c r="E31">
        <v>1</v>
      </c>
      <c r="F31">
        <v>758</v>
      </c>
      <c r="G31">
        <f t="shared" si="0"/>
        <v>1962.7326027239087</v>
      </c>
    </row>
    <row r="32" spans="1:17" x14ac:dyDescent="0.3">
      <c r="A32">
        <v>31</v>
      </c>
      <c r="B32">
        <v>62.3</v>
      </c>
      <c r="C32">
        <v>0</v>
      </c>
      <c r="D32">
        <v>0</v>
      </c>
      <c r="E32">
        <v>0</v>
      </c>
      <c r="F32">
        <v>778</v>
      </c>
      <c r="G32">
        <f t="shared" si="0"/>
        <v>1951.8239024660757</v>
      </c>
    </row>
    <row r="33" spans="1:7" x14ac:dyDescent="0.3">
      <c r="A33">
        <v>32</v>
      </c>
      <c r="B33">
        <v>62.6</v>
      </c>
      <c r="C33">
        <v>0</v>
      </c>
      <c r="D33">
        <v>0</v>
      </c>
      <c r="E33">
        <v>0</v>
      </c>
      <c r="F33">
        <v>801</v>
      </c>
      <c r="G33">
        <f t="shared" si="0"/>
        <v>1940.915202208243</v>
      </c>
    </row>
    <row r="34" spans="1:7" x14ac:dyDescent="0.3">
      <c r="A34">
        <v>33</v>
      </c>
      <c r="B34">
        <v>62.7</v>
      </c>
      <c r="C34">
        <v>0</v>
      </c>
      <c r="D34">
        <v>0</v>
      </c>
      <c r="E34">
        <v>0</v>
      </c>
      <c r="F34">
        <v>806</v>
      </c>
      <c r="G34">
        <f t="shared" si="0"/>
        <v>1930.00650195041</v>
      </c>
    </row>
    <row r="35" spans="1:7" x14ac:dyDescent="0.3">
      <c r="A35">
        <v>34</v>
      </c>
      <c r="B35">
        <v>62.9</v>
      </c>
      <c r="C35">
        <v>0</v>
      </c>
      <c r="D35">
        <v>0</v>
      </c>
      <c r="E35">
        <v>0</v>
      </c>
      <c r="F35">
        <v>987</v>
      </c>
      <c r="G35">
        <f t="shared" si="0"/>
        <v>1919.0978016925771</v>
      </c>
    </row>
    <row r="36" spans="1:7" x14ac:dyDescent="0.3">
      <c r="A36">
        <v>35</v>
      </c>
      <c r="B36">
        <v>63</v>
      </c>
      <c r="C36">
        <v>0</v>
      </c>
      <c r="D36">
        <v>0</v>
      </c>
      <c r="E36">
        <v>0</v>
      </c>
      <c r="F36">
        <v>1677</v>
      </c>
      <c r="G36">
        <f t="shared" si="0"/>
        <v>1908.1891014347443</v>
      </c>
    </row>
    <row r="37" spans="1:7" x14ac:dyDescent="0.3">
      <c r="A37">
        <v>36</v>
      </c>
      <c r="B37">
        <v>63.1</v>
      </c>
      <c r="C37">
        <v>0</v>
      </c>
      <c r="D37">
        <v>0</v>
      </c>
      <c r="E37">
        <v>0</v>
      </c>
      <c r="F37">
        <v>3445</v>
      </c>
      <c r="G37">
        <f t="shared" si="0"/>
        <v>1897.2804011769115</v>
      </c>
    </row>
    <row r="38" spans="1:7" x14ac:dyDescent="0.3">
      <c r="A38">
        <v>37</v>
      </c>
      <c r="B38">
        <v>63</v>
      </c>
      <c r="C38">
        <v>0</v>
      </c>
      <c r="D38">
        <v>1</v>
      </c>
      <c r="E38">
        <v>0</v>
      </c>
      <c r="F38">
        <v>683</v>
      </c>
      <c r="G38">
        <f t="shared" si="0"/>
        <v>1290.7152035657205</v>
      </c>
    </row>
    <row r="39" spans="1:7" x14ac:dyDescent="0.3">
      <c r="A39">
        <v>38</v>
      </c>
      <c r="B39">
        <v>63.1</v>
      </c>
      <c r="C39">
        <v>0</v>
      </c>
      <c r="D39">
        <v>1</v>
      </c>
      <c r="E39">
        <v>0</v>
      </c>
      <c r="F39">
        <v>665</v>
      </c>
      <c r="G39">
        <f t="shared" si="0"/>
        <v>1279.8065033078876</v>
      </c>
    </row>
    <row r="40" spans="1:7" x14ac:dyDescent="0.3">
      <c r="A40">
        <v>39</v>
      </c>
      <c r="B40">
        <v>63.1</v>
      </c>
      <c r="C40">
        <v>0</v>
      </c>
      <c r="D40">
        <v>1</v>
      </c>
      <c r="E40">
        <v>0</v>
      </c>
      <c r="F40">
        <v>823</v>
      </c>
      <c r="G40">
        <f t="shared" si="0"/>
        <v>1268.8978030500548</v>
      </c>
    </row>
    <row r="41" spans="1:7" x14ac:dyDescent="0.3">
      <c r="A41">
        <v>40</v>
      </c>
      <c r="B41">
        <v>63.1</v>
      </c>
      <c r="C41">
        <v>0</v>
      </c>
      <c r="D41">
        <v>0</v>
      </c>
      <c r="E41">
        <v>1</v>
      </c>
      <c r="F41">
        <v>867</v>
      </c>
      <c r="G41">
        <f t="shared" si="0"/>
        <v>1853.6456001455801</v>
      </c>
    </row>
    <row r="42" spans="1:7" x14ac:dyDescent="0.3">
      <c r="A42">
        <v>41</v>
      </c>
      <c r="B42">
        <v>62.7</v>
      </c>
      <c r="C42">
        <v>0</v>
      </c>
      <c r="D42">
        <v>0</v>
      </c>
      <c r="E42">
        <v>1</v>
      </c>
      <c r="F42">
        <v>821</v>
      </c>
      <c r="G42">
        <f t="shared" si="0"/>
        <v>1842.7368998877473</v>
      </c>
    </row>
    <row r="43" spans="1:7" x14ac:dyDescent="0.3">
      <c r="A43">
        <v>42</v>
      </c>
      <c r="B43">
        <v>62.7</v>
      </c>
      <c r="C43">
        <v>0</v>
      </c>
      <c r="D43">
        <v>0</v>
      </c>
      <c r="E43">
        <v>1</v>
      </c>
      <c r="F43">
        <v>873</v>
      </c>
      <c r="G43">
        <f t="shared" si="0"/>
        <v>1831.8281996299145</v>
      </c>
    </row>
    <row r="44" spans="1:7" x14ac:dyDescent="0.3">
      <c r="A44">
        <v>43</v>
      </c>
      <c r="B44">
        <v>62.8</v>
      </c>
      <c r="C44">
        <v>0</v>
      </c>
      <c r="D44">
        <v>0</v>
      </c>
      <c r="E44">
        <v>0</v>
      </c>
      <c r="F44">
        <v>851</v>
      </c>
      <c r="G44">
        <f t="shared" si="0"/>
        <v>1820.9194993720816</v>
      </c>
    </row>
    <row r="45" spans="1:7" x14ac:dyDescent="0.3">
      <c r="A45">
        <v>44</v>
      </c>
      <c r="B45">
        <v>62.8</v>
      </c>
      <c r="C45">
        <v>0</v>
      </c>
      <c r="D45">
        <v>0</v>
      </c>
      <c r="E45">
        <v>0</v>
      </c>
      <c r="F45">
        <v>846</v>
      </c>
      <c r="G45">
        <f t="shared" si="0"/>
        <v>1810.0107991142486</v>
      </c>
    </row>
    <row r="46" spans="1:7" x14ac:dyDescent="0.3">
      <c r="A46">
        <v>45</v>
      </c>
      <c r="B46">
        <v>62.9</v>
      </c>
      <c r="C46">
        <v>0</v>
      </c>
      <c r="D46">
        <v>0</v>
      </c>
      <c r="E46">
        <v>0</v>
      </c>
      <c r="F46">
        <v>846</v>
      </c>
      <c r="G46">
        <f t="shared" si="0"/>
        <v>1799.102098856416</v>
      </c>
    </row>
    <row r="47" spans="1:7" x14ac:dyDescent="0.3">
      <c r="A47">
        <v>46</v>
      </c>
      <c r="B47">
        <v>62.9</v>
      </c>
      <c r="C47">
        <v>0</v>
      </c>
      <c r="D47">
        <v>0</v>
      </c>
      <c r="E47">
        <v>0</v>
      </c>
      <c r="F47">
        <v>993</v>
      </c>
      <c r="G47">
        <f t="shared" si="0"/>
        <v>1788.1933985985829</v>
      </c>
    </row>
    <row r="48" spans="1:7" x14ac:dyDescent="0.3">
      <c r="A48">
        <v>47</v>
      </c>
      <c r="B48">
        <v>62.8</v>
      </c>
      <c r="C48">
        <v>0</v>
      </c>
      <c r="D48">
        <v>0</v>
      </c>
      <c r="E48">
        <v>0</v>
      </c>
      <c r="F48">
        <v>1830</v>
      </c>
      <c r="G48">
        <f t="shared" si="0"/>
        <v>1777.2846983407503</v>
      </c>
    </row>
    <row r="49" spans="1:7" x14ac:dyDescent="0.3">
      <c r="A49">
        <v>48</v>
      </c>
      <c r="B49">
        <v>62.7</v>
      </c>
      <c r="C49">
        <v>0</v>
      </c>
      <c r="D49">
        <v>0</v>
      </c>
      <c r="E49">
        <v>0</v>
      </c>
      <c r="F49">
        <v>3616</v>
      </c>
      <c r="G49">
        <f t="shared" si="0"/>
        <v>1766.3759980829172</v>
      </c>
    </row>
    <row r="50" spans="1:7" x14ac:dyDescent="0.3">
      <c r="A50">
        <v>49</v>
      </c>
      <c r="B50">
        <v>62.7</v>
      </c>
      <c r="C50">
        <v>0</v>
      </c>
      <c r="D50">
        <v>1</v>
      </c>
      <c r="E50">
        <v>0</v>
      </c>
      <c r="F50">
        <v>705</v>
      </c>
      <c r="G50">
        <f t="shared" si="0"/>
        <v>1159.8108004717262</v>
      </c>
    </row>
    <row r="51" spans="1:7" x14ac:dyDescent="0.3">
      <c r="A51">
        <v>50</v>
      </c>
      <c r="B51">
        <v>62.9</v>
      </c>
      <c r="C51">
        <v>0</v>
      </c>
      <c r="D51">
        <v>1</v>
      </c>
      <c r="E51">
        <v>0</v>
      </c>
      <c r="F51">
        <v>737</v>
      </c>
      <c r="G51">
        <f t="shared" si="0"/>
        <v>1148.9021002138934</v>
      </c>
    </row>
    <row r="52" spans="1:7" x14ac:dyDescent="0.3">
      <c r="A52">
        <v>51</v>
      </c>
      <c r="B52">
        <v>63</v>
      </c>
      <c r="C52">
        <v>0</v>
      </c>
      <c r="D52">
        <v>1</v>
      </c>
      <c r="E52">
        <v>0</v>
      </c>
      <c r="F52">
        <v>890</v>
      </c>
      <c r="G52">
        <f t="shared" si="0"/>
        <v>1137.9933999560606</v>
      </c>
    </row>
    <row r="53" spans="1:7" x14ac:dyDescent="0.3">
      <c r="A53">
        <v>52</v>
      </c>
      <c r="B53">
        <v>63</v>
      </c>
      <c r="C53">
        <v>0</v>
      </c>
      <c r="D53">
        <v>0</v>
      </c>
      <c r="E53">
        <v>1</v>
      </c>
      <c r="F53">
        <v>862</v>
      </c>
      <c r="G53">
        <f t="shared" si="0"/>
        <v>1722.7411970515859</v>
      </c>
    </row>
    <row r="54" spans="1:7" x14ac:dyDescent="0.3">
      <c r="A54">
        <v>53</v>
      </c>
      <c r="B54">
        <v>63</v>
      </c>
      <c r="C54">
        <v>0</v>
      </c>
      <c r="D54">
        <v>0</v>
      </c>
      <c r="E54">
        <v>1</v>
      </c>
      <c r="F54">
        <v>669</v>
      </c>
      <c r="G54">
        <f t="shared" si="0"/>
        <v>1711.8324967937531</v>
      </c>
    </row>
    <row r="55" spans="1:7" x14ac:dyDescent="0.3">
      <c r="A55">
        <v>54</v>
      </c>
      <c r="B55">
        <v>63.2</v>
      </c>
      <c r="C55">
        <v>0</v>
      </c>
      <c r="D55">
        <v>0</v>
      </c>
      <c r="E55">
        <v>1</v>
      </c>
      <c r="F55">
        <v>849</v>
      </c>
      <c r="G55">
        <f t="shared" si="0"/>
        <v>1700.9237965359202</v>
      </c>
    </row>
    <row r="56" spans="1:7" x14ac:dyDescent="0.3">
      <c r="A56">
        <v>55</v>
      </c>
      <c r="B56">
        <v>63.3</v>
      </c>
      <c r="C56">
        <v>0</v>
      </c>
      <c r="D56">
        <v>0</v>
      </c>
      <c r="E56">
        <v>0</v>
      </c>
      <c r="F56">
        <v>877</v>
      </c>
      <c r="G56">
        <f t="shared" si="0"/>
        <v>1690.0150962780872</v>
      </c>
    </row>
    <row r="57" spans="1:7" x14ac:dyDescent="0.3">
      <c r="A57">
        <v>56</v>
      </c>
      <c r="B57">
        <v>63.3</v>
      </c>
      <c r="C57">
        <v>0</v>
      </c>
      <c r="D57">
        <v>0</v>
      </c>
      <c r="E57">
        <v>0</v>
      </c>
      <c r="F57">
        <v>874</v>
      </c>
      <c r="G57">
        <f t="shared" si="0"/>
        <v>1679.1063960202546</v>
      </c>
    </row>
    <row r="58" spans="1:7" x14ac:dyDescent="0.3">
      <c r="A58">
        <v>57</v>
      </c>
      <c r="B58">
        <v>63.4</v>
      </c>
      <c r="C58">
        <v>0</v>
      </c>
      <c r="D58">
        <v>0</v>
      </c>
      <c r="E58">
        <v>0</v>
      </c>
      <c r="F58">
        <v>870</v>
      </c>
      <c r="G58">
        <f t="shared" si="0"/>
        <v>1668.1976957624215</v>
      </c>
    </row>
    <row r="59" spans="1:7" x14ac:dyDescent="0.3">
      <c r="A59">
        <v>58</v>
      </c>
      <c r="B59">
        <v>63.5</v>
      </c>
      <c r="C59">
        <v>0</v>
      </c>
      <c r="D59">
        <v>0</v>
      </c>
      <c r="E59">
        <v>0</v>
      </c>
      <c r="F59">
        <v>1094</v>
      </c>
      <c r="G59">
        <f t="shared" si="0"/>
        <v>1657.2889955045889</v>
      </c>
    </row>
    <row r="60" spans="1:7" x14ac:dyDescent="0.3">
      <c r="A60">
        <v>59</v>
      </c>
      <c r="B60">
        <v>63.4</v>
      </c>
      <c r="C60">
        <v>0</v>
      </c>
      <c r="D60">
        <v>0</v>
      </c>
      <c r="E60">
        <v>0</v>
      </c>
      <c r="F60">
        <v>2002</v>
      </c>
      <c r="G60">
        <f t="shared" si="0"/>
        <v>1646.3802952467558</v>
      </c>
    </row>
    <row r="61" spans="1:7" x14ac:dyDescent="0.3">
      <c r="A61">
        <v>60</v>
      </c>
      <c r="B61">
        <v>63.4</v>
      </c>
      <c r="C61">
        <v>0</v>
      </c>
      <c r="D61">
        <v>0</v>
      </c>
      <c r="E61">
        <v>0</v>
      </c>
      <c r="F61">
        <v>4073</v>
      </c>
      <c r="G61">
        <f t="shared" si="0"/>
        <v>1635.4715949889232</v>
      </c>
    </row>
    <row r="62" spans="1:7" x14ac:dyDescent="0.3">
      <c r="A62">
        <v>61</v>
      </c>
      <c r="B62">
        <v>63.4</v>
      </c>
      <c r="C62">
        <v>0</v>
      </c>
      <c r="D62">
        <v>1</v>
      </c>
      <c r="E62">
        <v>0</v>
      </c>
      <c r="F62">
        <v>730</v>
      </c>
      <c r="G62">
        <f t="shared" si="0"/>
        <v>1028.906397377732</v>
      </c>
    </row>
    <row r="63" spans="1:7" x14ac:dyDescent="0.3">
      <c r="A63">
        <v>62</v>
      </c>
      <c r="B63">
        <v>63.4</v>
      </c>
      <c r="C63">
        <v>0</v>
      </c>
      <c r="D63">
        <v>1</v>
      </c>
      <c r="E63">
        <v>0</v>
      </c>
      <c r="F63">
        <v>791</v>
      </c>
      <c r="G63">
        <f t="shared" si="0"/>
        <v>1017.9976971198992</v>
      </c>
    </row>
    <row r="64" spans="1:7" x14ac:dyDescent="0.3">
      <c r="A64">
        <v>63</v>
      </c>
      <c r="B64">
        <v>63.6</v>
      </c>
      <c r="C64">
        <v>0</v>
      </c>
      <c r="D64">
        <v>1</v>
      </c>
      <c r="E64">
        <v>0</v>
      </c>
      <c r="F64">
        <v>1032</v>
      </c>
      <c r="G64">
        <f t="shared" si="0"/>
        <v>1007.0889968620663</v>
      </c>
    </row>
    <row r="65" spans="1:7" x14ac:dyDescent="0.3">
      <c r="A65">
        <v>64</v>
      </c>
      <c r="B65">
        <v>63.7</v>
      </c>
      <c r="C65">
        <v>0</v>
      </c>
      <c r="D65">
        <v>0</v>
      </c>
      <c r="E65">
        <v>1</v>
      </c>
      <c r="F65">
        <v>896</v>
      </c>
      <c r="G65">
        <f t="shared" si="0"/>
        <v>1591.8367939575917</v>
      </c>
    </row>
    <row r="66" spans="1:7" x14ac:dyDescent="0.3">
      <c r="A66">
        <v>65</v>
      </c>
      <c r="B66">
        <v>63.8</v>
      </c>
      <c r="C66">
        <v>0</v>
      </c>
      <c r="D66">
        <v>0</v>
      </c>
      <c r="E66">
        <v>1</v>
      </c>
      <c r="F66">
        <v>947</v>
      </c>
      <c r="G66">
        <f t="shared" si="0"/>
        <v>1580.9280936997588</v>
      </c>
    </row>
    <row r="67" spans="1:7" x14ac:dyDescent="0.3">
      <c r="A67">
        <v>66</v>
      </c>
      <c r="B67">
        <v>63.7</v>
      </c>
      <c r="C67">
        <v>0</v>
      </c>
      <c r="D67">
        <v>0</v>
      </c>
      <c r="E67">
        <v>1</v>
      </c>
      <c r="F67">
        <v>940</v>
      </c>
      <c r="G67">
        <f t="shared" ref="G67:G130" si="1">$I$2+A67*$J$2+B67*$K$2+C67*$L$2+D67*$M$2+E67*$N$2</f>
        <v>1570.019393441926</v>
      </c>
    </row>
    <row r="68" spans="1:7" x14ac:dyDescent="0.3">
      <c r="A68">
        <v>67</v>
      </c>
      <c r="B68">
        <v>63.9</v>
      </c>
      <c r="C68">
        <v>0</v>
      </c>
      <c r="D68">
        <v>0</v>
      </c>
      <c r="E68">
        <v>0</v>
      </c>
      <c r="F68">
        <v>963</v>
      </c>
      <c r="G68">
        <f t="shared" si="1"/>
        <v>1559.1106931840932</v>
      </c>
    </row>
    <row r="69" spans="1:7" x14ac:dyDescent="0.3">
      <c r="A69">
        <v>68</v>
      </c>
      <c r="B69">
        <v>63.9</v>
      </c>
      <c r="C69">
        <v>0</v>
      </c>
      <c r="D69">
        <v>0</v>
      </c>
      <c r="E69">
        <v>0</v>
      </c>
      <c r="F69">
        <v>958</v>
      </c>
      <c r="G69">
        <f t="shared" si="1"/>
        <v>1548.2019929262601</v>
      </c>
    </row>
    <row r="70" spans="1:7" x14ac:dyDescent="0.3">
      <c r="A70">
        <v>69</v>
      </c>
      <c r="B70">
        <v>63.9</v>
      </c>
      <c r="C70">
        <v>0</v>
      </c>
      <c r="D70">
        <v>0</v>
      </c>
      <c r="E70">
        <v>0</v>
      </c>
      <c r="F70">
        <v>971</v>
      </c>
      <c r="G70">
        <f t="shared" si="1"/>
        <v>1537.2932926684275</v>
      </c>
    </row>
    <row r="71" spans="1:7" x14ac:dyDescent="0.3">
      <c r="A71">
        <v>70</v>
      </c>
      <c r="B71">
        <v>63.9</v>
      </c>
      <c r="C71">
        <v>0</v>
      </c>
      <c r="D71">
        <v>0</v>
      </c>
      <c r="E71">
        <v>0</v>
      </c>
      <c r="F71">
        <v>1141</v>
      </c>
      <c r="G71">
        <f t="shared" si="1"/>
        <v>1526.3845924105945</v>
      </c>
    </row>
    <row r="72" spans="1:7" x14ac:dyDescent="0.3">
      <c r="A72">
        <v>71</v>
      </c>
      <c r="B72">
        <v>64.099999999999994</v>
      </c>
      <c r="C72">
        <v>0</v>
      </c>
      <c r="D72">
        <v>0</v>
      </c>
      <c r="E72">
        <v>0</v>
      </c>
      <c r="F72">
        <v>2009</v>
      </c>
      <c r="G72">
        <f t="shared" si="1"/>
        <v>1515.4758921527618</v>
      </c>
    </row>
    <row r="73" spans="1:7" x14ac:dyDescent="0.3">
      <c r="A73">
        <v>72</v>
      </c>
      <c r="B73">
        <v>64</v>
      </c>
      <c r="C73">
        <v>0</v>
      </c>
      <c r="D73">
        <v>0</v>
      </c>
      <c r="E73">
        <v>0</v>
      </c>
      <c r="F73">
        <v>3643</v>
      </c>
      <c r="G73">
        <f t="shared" si="1"/>
        <v>1504.5671918949288</v>
      </c>
    </row>
    <row r="74" spans="1:7" x14ac:dyDescent="0.3">
      <c r="A74">
        <v>73</v>
      </c>
      <c r="B74">
        <v>64</v>
      </c>
      <c r="C74">
        <v>0</v>
      </c>
      <c r="D74">
        <v>1</v>
      </c>
      <c r="E74">
        <v>0</v>
      </c>
      <c r="F74">
        <v>858</v>
      </c>
      <c r="G74">
        <f t="shared" si="1"/>
        <v>898.00199428373799</v>
      </c>
    </row>
    <row r="75" spans="1:7" x14ac:dyDescent="0.3">
      <c r="A75">
        <v>74</v>
      </c>
      <c r="B75">
        <v>64</v>
      </c>
      <c r="C75">
        <v>0</v>
      </c>
      <c r="D75">
        <v>1</v>
      </c>
      <c r="E75">
        <v>0</v>
      </c>
      <c r="F75">
        <v>883</v>
      </c>
      <c r="G75">
        <f t="shared" si="1"/>
        <v>887.09329402590492</v>
      </c>
    </row>
    <row r="76" spans="1:7" x14ac:dyDescent="0.3">
      <c r="A76">
        <v>75</v>
      </c>
      <c r="B76">
        <v>64</v>
      </c>
      <c r="C76">
        <v>0</v>
      </c>
      <c r="D76">
        <v>1</v>
      </c>
      <c r="E76">
        <v>0</v>
      </c>
      <c r="F76">
        <v>987</v>
      </c>
      <c r="G76">
        <f t="shared" si="1"/>
        <v>876.18459376807209</v>
      </c>
    </row>
    <row r="77" spans="1:7" x14ac:dyDescent="0.3">
      <c r="A77">
        <v>76</v>
      </c>
      <c r="B77">
        <v>64.099999999999994</v>
      </c>
      <c r="C77">
        <v>0</v>
      </c>
      <c r="D77">
        <v>0</v>
      </c>
      <c r="E77">
        <v>1</v>
      </c>
      <c r="F77">
        <v>1022</v>
      </c>
      <c r="G77">
        <f t="shared" si="1"/>
        <v>1460.9323908635974</v>
      </c>
    </row>
    <row r="78" spans="1:7" x14ac:dyDescent="0.3">
      <c r="A78">
        <v>77</v>
      </c>
      <c r="B78">
        <v>64.099999999999994</v>
      </c>
      <c r="C78">
        <v>0</v>
      </c>
      <c r="D78">
        <v>0</v>
      </c>
      <c r="E78">
        <v>1</v>
      </c>
      <c r="F78">
        <v>986</v>
      </c>
      <c r="G78">
        <f t="shared" si="1"/>
        <v>1450.0236906057646</v>
      </c>
    </row>
    <row r="79" spans="1:7" x14ac:dyDescent="0.3">
      <c r="A79">
        <v>78</v>
      </c>
      <c r="B79">
        <v>64</v>
      </c>
      <c r="C79">
        <v>0</v>
      </c>
      <c r="D79">
        <v>0</v>
      </c>
      <c r="E79">
        <v>1</v>
      </c>
      <c r="F79">
        <v>1016</v>
      </c>
      <c r="G79">
        <f t="shared" si="1"/>
        <v>1439.1149903479318</v>
      </c>
    </row>
    <row r="80" spans="1:7" x14ac:dyDescent="0.3">
      <c r="A80">
        <v>79</v>
      </c>
      <c r="B80">
        <v>64</v>
      </c>
      <c r="C80">
        <v>0</v>
      </c>
      <c r="D80">
        <v>0</v>
      </c>
      <c r="E80">
        <v>0</v>
      </c>
      <c r="F80">
        <v>1042</v>
      </c>
      <c r="G80">
        <f t="shared" si="1"/>
        <v>1428.2062900900989</v>
      </c>
    </row>
    <row r="81" spans="1:7" x14ac:dyDescent="0.3">
      <c r="A81">
        <v>80</v>
      </c>
      <c r="B81">
        <v>63.9</v>
      </c>
      <c r="C81">
        <v>0</v>
      </c>
      <c r="D81">
        <v>0</v>
      </c>
      <c r="E81">
        <v>0</v>
      </c>
      <c r="F81">
        <v>1025</v>
      </c>
      <c r="G81">
        <f t="shared" si="1"/>
        <v>1417.2975898322661</v>
      </c>
    </row>
    <row r="82" spans="1:7" x14ac:dyDescent="0.3">
      <c r="A82">
        <v>81</v>
      </c>
      <c r="B82">
        <v>64.2</v>
      </c>
      <c r="C82">
        <v>0</v>
      </c>
      <c r="D82">
        <v>0</v>
      </c>
      <c r="E82">
        <v>0</v>
      </c>
      <c r="F82">
        <v>1005</v>
      </c>
      <c r="G82">
        <f t="shared" si="1"/>
        <v>1406.3888895744331</v>
      </c>
    </row>
    <row r="83" spans="1:7" x14ac:dyDescent="0.3">
      <c r="A83">
        <v>82</v>
      </c>
      <c r="B83">
        <v>64.099999999999994</v>
      </c>
      <c r="C83">
        <v>0</v>
      </c>
      <c r="D83">
        <v>0</v>
      </c>
      <c r="E83">
        <v>0</v>
      </c>
      <c r="F83">
        <v>1197</v>
      </c>
      <c r="G83">
        <f t="shared" si="1"/>
        <v>1395.4801893166004</v>
      </c>
    </row>
    <row r="84" spans="1:7" x14ac:dyDescent="0.3">
      <c r="A84">
        <v>83</v>
      </c>
      <c r="B84">
        <v>64.2</v>
      </c>
      <c r="C84">
        <v>0</v>
      </c>
      <c r="D84">
        <v>0</v>
      </c>
      <c r="E84">
        <v>0</v>
      </c>
      <c r="F84">
        <v>2011</v>
      </c>
      <c r="G84">
        <f t="shared" si="1"/>
        <v>1384.5714890587674</v>
      </c>
    </row>
    <row r="85" spans="1:7" x14ac:dyDescent="0.3">
      <c r="A85">
        <v>84</v>
      </c>
      <c r="B85">
        <v>64.3</v>
      </c>
      <c r="C85">
        <v>0</v>
      </c>
      <c r="D85">
        <v>0</v>
      </c>
      <c r="E85">
        <v>0</v>
      </c>
      <c r="F85">
        <v>3801</v>
      </c>
      <c r="G85">
        <f t="shared" si="1"/>
        <v>1373.6627888009348</v>
      </c>
    </row>
    <row r="86" spans="1:7" x14ac:dyDescent="0.3">
      <c r="A86">
        <v>85</v>
      </c>
      <c r="B86">
        <v>64.400000000000006</v>
      </c>
      <c r="C86">
        <v>0</v>
      </c>
      <c r="D86">
        <v>1</v>
      </c>
      <c r="E86">
        <v>0</v>
      </c>
      <c r="F86">
        <v>933</v>
      </c>
      <c r="G86">
        <f t="shared" si="1"/>
        <v>767.09759118974353</v>
      </c>
    </row>
    <row r="87" spans="1:7" x14ac:dyDescent="0.3">
      <c r="A87">
        <v>86</v>
      </c>
      <c r="B87">
        <v>64.2</v>
      </c>
      <c r="C87">
        <v>0</v>
      </c>
      <c r="D87">
        <v>1</v>
      </c>
      <c r="E87">
        <v>0</v>
      </c>
      <c r="F87">
        <v>966</v>
      </c>
      <c r="G87">
        <f t="shared" si="1"/>
        <v>756.18889093191092</v>
      </c>
    </row>
    <row r="88" spans="1:7" x14ac:dyDescent="0.3">
      <c r="A88">
        <v>87</v>
      </c>
      <c r="B88">
        <v>64.2</v>
      </c>
      <c r="C88">
        <v>0</v>
      </c>
      <c r="D88">
        <v>1</v>
      </c>
      <c r="E88">
        <v>0</v>
      </c>
      <c r="F88">
        <v>1135</v>
      </c>
      <c r="G88">
        <f t="shared" si="1"/>
        <v>745.28019067407786</v>
      </c>
    </row>
    <row r="89" spans="1:7" x14ac:dyDescent="0.3">
      <c r="A89">
        <v>88</v>
      </c>
      <c r="B89">
        <v>64.2</v>
      </c>
      <c r="C89">
        <v>0</v>
      </c>
      <c r="D89">
        <v>0</v>
      </c>
      <c r="E89">
        <v>1</v>
      </c>
      <c r="F89">
        <v>1076</v>
      </c>
      <c r="G89">
        <f t="shared" si="1"/>
        <v>1330.0279877696032</v>
      </c>
    </row>
    <row r="90" spans="1:7" x14ac:dyDescent="0.3">
      <c r="A90">
        <v>89</v>
      </c>
      <c r="B90">
        <v>64.3</v>
      </c>
      <c r="C90">
        <v>0</v>
      </c>
      <c r="D90">
        <v>0</v>
      </c>
      <c r="E90">
        <v>1</v>
      </c>
      <c r="F90">
        <v>1061</v>
      </c>
      <c r="G90">
        <f t="shared" si="1"/>
        <v>1319.1192875117704</v>
      </c>
    </row>
    <row r="91" spans="1:7" x14ac:dyDescent="0.3">
      <c r="A91">
        <v>90</v>
      </c>
      <c r="B91">
        <v>64.2</v>
      </c>
      <c r="C91">
        <v>0</v>
      </c>
      <c r="D91">
        <v>0</v>
      </c>
      <c r="E91">
        <v>1</v>
      </c>
      <c r="F91">
        <v>1101</v>
      </c>
      <c r="G91">
        <f t="shared" si="1"/>
        <v>1308.2105872539375</v>
      </c>
    </row>
    <row r="92" spans="1:7" x14ac:dyDescent="0.3">
      <c r="A92">
        <v>91</v>
      </c>
      <c r="B92">
        <v>64.2</v>
      </c>
      <c r="C92">
        <v>0</v>
      </c>
      <c r="D92">
        <v>0</v>
      </c>
      <c r="E92">
        <v>0</v>
      </c>
      <c r="F92">
        <v>1083</v>
      </c>
      <c r="G92">
        <f t="shared" si="1"/>
        <v>1297.3018869961047</v>
      </c>
    </row>
    <row r="93" spans="1:7" x14ac:dyDescent="0.3">
      <c r="A93">
        <v>92</v>
      </c>
      <c r="B93">
        <v>64.2</v>
      </c>
      <c r="C93">
        <v>0</v>
      </c>
      <c r="D93">
        <v>0</v>
      </c>
      <c r="E93">
        <v>0</v>
      </c>
      <c r="F93">
        <v>1101</v>
      </c>
      <c r="G93">
        <f t="shared" si="1"/>
        <v>1286.3931867382719</v>
      </c>
    </row>
    <row r="94" spans="1:7" x14ac:dyDescent="0.3">
      <c r="A94">
        <v>93</v>
      </c>
      <c r="B94">
        <v>64.2</v>
      </c>
      <c r="C94">
        <v>0</v>
      </c>
      <c r="D94">
        <v>0</v>
      </c>
      <c r="E94">
        <v>0</v>
      </c>
      <c r="F94">
        <v>1111</v>
      </c>
      <c r="G94">
        <f t="shared" si="1"/>
        <v>1275.484486480439</v>
      </c>
    </row>
    <row r="95" spans="1:7" x14ac:dyDescent="0.3">
      <c r="A95">
        <v>94</v>
      </c>
      <c r="B95">
        <v>64.3</v>
      </c>
      <c r="C95">
        <v>0</v>
      </c>
      <c r="D95">
        <v>0</v>
      </c>
      <c r="E95">
        <v>0</v>
      </c>
      <c r="F95">
        <v>1277</v>
      </c>
      <c r="G95">
        <f t="shared" si="1"/>
        <v>1264.5757862226062</v>
      </c>
    </row>
    <row r="96" spans="1:7" x14ac:dyDescent="0.3">
      <c r="A96">
        <v>95</v>
      </c>
      <c r="B96">
        <v>64.400000000000006</v>
      </c>
      <c r="C96">
        <v>0</v>
      </c>
      <c r="D96">
        <v>0</v>
      </c>
      <c r="E96">
        <v>0</v>
      </c>
      <c r="F96">
        <v>2096</v>
      </c>
      <c r="G96">
        <f t="shared" si="1"/>
        <v>1253.6670859647734</v>
      </c>
    </row>
    <row r="97" spans="1:7" x14ac:dyDescent="0.3">
      <c r="A97">
        <v>96</v>
      </c>
      <c r="B97">
        <v>64.400000000000006</v>
      </c>
      <c r="C97">
        <v>0</v>
      </c>
      <c r="D97">
        <v>0</v>
      </c>
      <c r="E97">
        <v>0</v>
      </c>
      <c r="F97">
        <v>3711</v>
      </c>
      <c r="G97">
        <f t="shared" si="1"/>
        <v>1242.7583857069403</v>
      </c>
    </row>
    <row r="98" spans="1:7" x14ac:dyDescent="0.3">
      <c r="A98">
        <v>97</v>
      </c>
      <c r="B98">
        <v>64.599999999999994</v>
      </c>
      <c r="C98">
        <v>0</v>
      </c>
      <c r="D98">
        <v>1</v>
      </c>
      <c r="E98">
        <v>0</v>
      </c>
      <c r="F98">
        <v>893</v>
      </c>
      <c r="G98">
        <f t="shared" si="1"/>
        <v>636.19318809574929</v>
      </c>
    </row>
    <row r="99" spans="1:7" x14ac:dyDescent="0.3">
      <c r="A99">
        <v>98</v>
      </c>
      <c r="B99">
        <v>64.599999999999994</v>
      </c>
      <c r="C99">
        <v>0</v>
      </c>
      <c r="D99">
        <v>1</v>
      </c>
      <c r="E99">
        <v>0</v>
      </c>
      <c r="F99">
        <v>1002</v>
      </c>
      <c r="G99">
        <f t="shared" si="1"/>
        <v>625.28448783791646</v>
      </c>
    </row>
    <row r="100" spans="1:7" x14ac:dyDescent="0.3">
      <c r="A100">
        <v>99</v>
      </c>
      <c r="B100">
        <v>64.599999999999994</v>
      </c>
      <c r="C100">
        <v>0</v>
      </c>
      <c r="D100">
        <v>1</v>
      </c>
      <c r="E100">
        <v>0</v>
      </c>
      <c r="F100">
        <v>1106</v>
      </c>
      <c r="G100">
        <f t="shared" si="1"/>
        <v>614.37578758008362</v>
      </c>
    </row>
    <row r="101" spans="1:7" x14ac:dyDescent="0.3">
      <c r="A101">
        <v>100</v>
      </c>
      <c r="B101">
        <v>64.7</v>
      </c>
      <c r="C101">
        <v>0</v>
      </c>
      <c r="D101">
        <v>0</v>
      </c>
      <c r="E101">
        <v>1</v>
      </c>
      <c r="F101">
        <v>1136</v>
      </c>
      <c r="G101">
        <f t="shared" si="1"/>
        <v>1199.123584675609</v>
      </c>
    </row>
    <row r="102" spans="1:7" x14ac:dyDescent="0.3">
      <c r="A102">
        <v>101</v>
      </c>
      <c r="B102">
        <v>64.400000000000006</v>
      </c>
      <c r="C102">
        <v>0</v>
      </c>
      <c r="D102">
        <v>0</v>
      </c>
      <c r="E102">
        <v>1</v>
      </c>
      <c r="F102">
        <v>1072</v>
      </c>
      <c r="G102">
        <f t="shared" si="1"/>
        <v>1188.2148844177761</v>
      </c>
    </row>
    <row r="103" spans="1:7" x14ac:dyDescent="0.3">
      <c r="A103">
        <v>102</v>
      </c>
      <c r="B103">
        <v>64.5</v>
      </c>
      <c r="C103">
        <v>0</v>
      </c>
      <c r="D103">
        <v>0</v>
      </c>
      <c r="E103">
        <v>1</v>
      </c>
      <c r="F103">
        <v>1098</v>
      </c>
      <c r="G103">
        <f t="shared" si="1"/>
        <v>1177.3061841599433</v>
      </c>
    </row>
    <row r="104" spans="1:7" x14ac:dyDescent="0.3">
      <c r="A104">
        <v>103</v>
      </c>
      <c r="B104">
        <v>64.2</v>
      </c>
      <c r="C104">
        <v>0</v>
      </c>
      <c r="D104">
        <v>0</v>
      </c>
      <c r="E104">
        <v>0</v>
      </c>
      <c r="F104">
        <v>1124</v>
      </c>
      <c r="G104">
        <f t="shared" si="1"/>
        <v>1166.3974839021105</v>
      </c>
    </row>
    <row r="105" spans="1:7" x14ac:dyDescent="0.3">
      <c r="A105">
        <v>104</v>
      </c>
      <c r="B105">
        <v>64.2</v>
      </c>
      <c r="C105">
        <v>0</v>
      </c>
      <c r="D105">
        <v>0</v>
      </c>
      <c r="E105">
        <v>0</v>
      </c>
      <c r="F105">
        <v>1132</v>
      </c>
      <c r="G105">
        <f t="shared" si="1"/>
        <v>1155.4887836442776</v>
      </c>
    </row>
    <row r="106" spans="1:7" x14ac:dyDescent="0.3">
      <c r="A106">
        <v>105</v>
      </c>
      <c r="B106">
        <v>64.2</v>
      </c>
      <c r="C106">
        <v>0</v>
      </c>
      <c r="D106">
        <v>0</v>
      </c>
      <c r="E106">
        <v>0</v>
      </c>
      <c r="F106">
        <v>1175</v>
      </c>
      <c r="G106">
        <f t="shared" si="1"/>
        <v>1144.5800833864448</v>
      </c>
    </row>
    <row r="107" spans="1:7" x14ac:dyDescent="0.3">
      <c r="A107">
        <v>106</v>
      </c>
      <c r="B107">
        <v>64.2</v>
      </c>
      <c r="C107">
        <v>0</v>
      </c>
      <c r="D107">
        <v>0</v>
      </c>
      <c r="E107">
        <v>0</v>
      </c>
      <c r="F107">
        <v>1285</v>
      </c>
      <c r="G107">
        <f t="shared" si="1"/>
        <v>1133.671383128612</v>
      </c>
    </row>
    <row r="108" spans="1:7" x14ac:dyDescent="0.3">
      <c r="A108">
        <v>107</v>
      </c>
      <c r="B108">
        <v>64.3</v>
      </c>
      <c r="C108">
        <v>0</v>
      </c>
      <c r="D108">
        <v>0</v>
      </c>
      <c r="E108">
        <v>0</v>
      </c>
      <c r="F108">
        <v>2161</v>
      </c>
      <c r="G108">
        <f t="shared" si="1"/>
        <v>1122.7626828707791</v>
      </c>
    </row>
    <row r="109" spans="1:7" x14ac:dyDescent="0.3">
      <c r="A109">
        <v>108</v>
      </c>
      <c r="B109">
        <v>64.400000000000006</v>
      </c>
      <c r="C109">
        <v>0</v>
      </c>
      <c r="D109">
        <v>0</v>
      </c>
      <c r="E109">
        <v>0</v>
      </c>
      <c r="F109">
        <v>3763</v>
      </c>
      <c r="G109">
        <f t="shared" si="1"/>
        <v>1111.8539826129463</v>
      </c>
    </row>
    <row r="110" spans="1:7" x14ac:dyDescent="0.3">
      <c r="A110">
        <v>109</v>
      </c>
      <c r="B110">
        <v>64.400000000000006</v>
      </c>
      <c r="C110">
        <v>0</v>
      </c>
      <c r="D110">
        <v>1</v>
      </c>
      <c r="E110">
        <v>0</v>
      </c>
      <c r="F110">
        <v>880</v>
      </c>
      <c r="G110">
        <f t="shared" si="1"/>
        <v>505.28878500175506</v>
      </c>
    </row>
    <row r="111" spans="1:7" x14ac:dyDescent="0.3">
      <c r="A111">
        <v>110</v>
      </c>
      <c r="B111">
        <v>64.3</v>
      </c>
      <c r="C111">
        <v>0</v>
      </c>
      <c r="D111">
        <v>1</v>
      </c>
      <c r="E111">
        <v>0</v>
      </c>
      <c r="F111">
        <v>971</v>
      </c>
      <c r="G111">
        <f t="shared" si="1"/>
        <v>494.38008474392223</v>
      </c>
    </row>
    <row r="112" spans="1:7" x14ac:dyDescent="0.3">
      <c r="A112">
        <v>111</v>
      </c>
      <c r="B112">
        <v>64.3</v>
      </c>
      <c r="C112">
        <v>0</v>
      </c>
      <c r="D112">
        <v>1</v>
      </c>
      <c r="E112">
        <v>0</v>
      </c>
      <c r="F112">
        <v>1176</v>
      </c>
      <c r="G112">
        <f t="shared" si="1"/>
        <v>483.47138448608939</v>
      </c>
    </row>
    <row r="113" spans="1:7" x14ac:dyDescent="0.3">
      <c r="A113">
        <v>112</v>
      </c>
      <c r="B113">
        <v>64</v>
      </c>
      <c r="C113">
        <v>0</v>
      </c>
      <c r="D113">
        <v>0</v>
      </c>
      <c r="E113">
        <v>1</v>
      </c>
      <c r="F113">
        <v>1063</v>
      </c>
      <c r="G113">
        <f t="shared" si="1"/>
        <v>1068.2191815816147</v>
      </c>
    </row>
    <row r="114" spans="1:7" x14ac:dyDescent="0.3">
      <c r="A114">
        <v>113</v>
      </c>
      <c r="B114">
        <v>63.8</v>
      </c>
      <c r="C114">
        <v>0</v>
      </c>
      <c r="D114">
        <v>0</v>
      </c>
      <c r="E114">
        <v>1</v>
      </c>
      <c r="F114">
        <v>1038</v>
      </c>
      <c r="G114">
        <f t="shared" si="1"/>
        <v>1057.3104813237819</v>
      </c>
    </row>
    <row r="115" spans="1:7" x14ac:dyDescent="0.3">
      <c r="A115">
        <v>114</v>
      </c>
      <c r="B115">
        <v>63.7</v>
      </c>
      <c r="C115">
        <v>0</v>
      </c>
      <c r="D115">
        <v>0</v>
      </c>
      <c r="E115">
        <v>1</v>
      </c>
      <c r="F115">
        <v>1107</v>
      </c>
      <c r="G115">
        <f t="shared" si="1"/>
        <v>1046.4017810659491</v>
      </c>
    </row>
    <row r="116" spans="1:7" x14ac:dyDescent="0.3">
      <c r="A116">
        <v>115</v>
      </c>
      <c r="B116">
        <v>63.7</v>
      </c>
      <c r="C116">
        <v>0</v>
      </c>
      <c r="D116">
        <v>0</v>
      </c>
      <c r="E116">
        <v>0</v>
      </c>
      <c r="F116">
        <v>1094</v>
      </c>
      <c r="G116">
        <f t="shared" si="1"/>
        <v>1035.4930808081162</v>
      </c>
    </row>
    <row r="117" spans="1:7" x14ac:dyDescent="0.3">
      <c r="A117">
        <v>116</v>
      </c>
      <c r="B117">
        <v>63.2</v>
      </c>
      <c r="C117">
        <v>0</v>
      </c>
      <c r="D117">
        <v>0</v>
      </c>
      <c r="E117">
        <v>0</v>
      </c>
      <c r="F117">
        <v>1065</v>
      </c>
      <c r="G117">
        <f t="shared" si="1"/>
        <v>1024.5843805502834</v>
      </c>
    </row>
    <row r="118" spans="1:7" x14ac:dyDescent="0.3">
      <c r="A118">
        <v>117</v>
      </c>
      <c r="B118">
        <v>63.5</v>
      </c>
      <c r="C118">
        <v>0</v>
      </c>
      <c r="D118">
        <v>0</v>
      </c>
      <c r="E118">
        <v>0</v>
      </c>
      <c r="F118">
        <v>1050</v>
      </c>
      <c r="G118">
        <f t="shared" si="1"/>
        <v>1013.6756802924506</v>
      </c>
    </row>
    <row r="119" spans="1:7" x14ac:dyDescent="0.3">
      <c r="A119">
        <v>118</v>
      </c>
      <c r="B119">
        <v>63.2</v>
      </c>
      <c r="C119">
        <v>0</v>
      </c>
      <c r="D119">
        <v>0</v>
      </c>
      <c r="E119">
        <v>0</v>
      </c>
      <c r="F119">
        <v>1303</v>
      </c>
      <c r="G119">
        <f t="shared" si="1"/>
        <v>1002.7669800346177</v>
      </c>
    </row>
    <row r="120" spans="1:7" x14ac:dyDescent="0.3">
      <c r="A120">
        <v>119</v>
      </c>
      <c r="B120">
        <v>63</v>
      </c>
      <c r="C120">
        <v>0</v>
      </c>
      <c r="D120">
        <v>0</v>
      </c>
      <c r="E120">
        <v>0</v>
      </c>
      <c r="F120">
        <v>2445</v>
      </c>
      <c r="G120">
        <f t="shared" si="1"/>
        <v>991.85827977678491</v>
      </c>
    </row>
    <row r="121" spans="1:7" x14ac:dyDescent="0.3">
      <c r="A121">
        <v>120</v>
      </c>
      <c r="B121">
        <v>62.9</v>
      </c>
      <c r="C121">
        <v>0</v>
      </c>
      <c r="D121">
        <v>0</v>
      </c>
      <c r="E121">
        <v>0</v>
      </c>
      <c r="F121">
        <v>3628</v>
      </c>
      <c r="G121">
        <f t="shared" si="1"/>
        <v>980.94957951895208</v>
      </c>
    </row>
    <row r="122" spans="1:7" x14ac:dyDescent="0.3">
      <c r="A122">
        <v>121</v>
      </c>
      <c r="B122">
        <v>62.7</v>
      </c>
      <c r="C122">
        <v>0</v>
      </c>
      <c r="D122">
        <v>1</v>
      </c>
      <c r="E122">
        <v>0</v>
      </c>
      <c r="F122">
        <v>896</v>
      </c>
      <c r="G122">
        <f t="shared" si="1"/>
        <v>374.38438190776105</v>
      </c>
    </row>
    <row r="123" spans="1:7" x14ac:dyDescent="0.3">
      <c r="A123">
        <v>122</v>
      </c>
      <c r="B123">
        <v>63</v>
      </c>
      <c r="C123">
        <v>0</v>
      </c>
      <c r="D123">
        <v>1</v>
      </c>
      <c r="E123">
        <v>0</v>
      </c>
      <c r="F123">
        <v>966</v>
      </c>
      <c r="G123">
        <f t="shared" si="1"/>
        <v>363.47568164992799</v>
      </c>
    </row>
    <row r="124" spans="1:7" x14ac:dyDescent="0.3">
      <c r="A124">
        <v>123</v>
      </c>
      <c r="B124">
        <v>62.8</v>
      </c>
      <c r="C124">
        <v>0</v>
      </c>
      <c r="D124">
        <v>1</v>
      </c>
      <c r="E124">
        <v>0</v>
      </c>
      <c r="F124">
        <v>1186</v>
      </c>
      <c r="G124">
        <f t="shared" si="1"/>
        <v>352.56698139209516</v>
      </c>
    </row>
    <row r="125" spans="1:7" x14ac:dyDescent="0.3">
      <c r="A125">
        <v>124</v>
      </c>
      <c r="B125">
        <v>62.7</v>
      </c>
      <c r="C125">
        <v>0</v>
      </c>
      <c r="D125">
        <v>0</v>
      </c>
      <c r="E125">
        <v>1</v>
      </c>
      <c r="F125">
        <v>1014</v>
      </c>
      <c r="G125">
        <f t="shared" si="1"/>
        <v>937.31477848762052</v>
      </c>
    </row>
    <row r="126" spans="1:7" x14ac:dyDescent="0.3">
      <c r="A126">
        <v>125</v>
      </c>
      <c r="B126">
        <v>62.9</v>
      </c>
      <c r="C126">
        <v>0</v>
      </c>
      <c r="D126">
        <v>0</v>
      </c>
      <c r="E126">
        <v>1</v>
      </c>
      <c r="F126">
        <v>1078</v>
      </c>
      <c r="G126">
        <f t="shared" si="1"/>
        <v>926.40607822978768</v>
      </c>
    </row>
    <row r="127" spans="1:7" x14ac:dyDescent="0.3">
      <c r="A127">
        <v>126</v>
      </c>
      <c r="B127">
        <v>62.7</v>
      </c>
      <c r="C127">
        <v>0</v>
      </c>
      <c r="D127">
        <v>0</v>
      </c>
      <c r="E127">
        <v>1</v>
      </c>
      <c r="F127">
        <v>1065</v>
      </c>
      <c r="G127">
        <f t="shared" si="1"/>
        <v>915.49737797195485</v>
      </c>
    </row>
    <row r="128" spans="1:7" x14ac:dyDescent="0.3">
      <c r="A128">
        <v>127</v>
      </c>
      <c r="B128">
        <v>62.7</v>
      </c>
      <c r="C128">
        <v>0</v>
      </c>
      <c r="D128">
        <v>0</v>
      </c>
      <c r="E128">
        <v>0</v>
      </c>
      <c r="F128">
        <v>1103</v>
      </c>
      <c r="G128">
        <f t="shared" si="1"/>
        <v>904.58867771412201</v>
      </c>
    </row>
    <row r="129" spans="1:7" x14ac:dyDescent="0.3">
      <c r="A129">
        <v>128</v>
      </c>
      <c r="B129">
        <v>62.7</v>
      </c>
      <c r="C129">
        <v>0</v>
      </c>
      <c r="D129">
        <v>0</v>
      </c>
      <c r="E129">
        <v>0</v>
      </c>
      <c r="F129">
        <v>1087</v>
      </c>
      <c r="G129">
        <f t="shared" si="1"/>
        <v>893.67997745628918</v>
      </c>
    </row>
    <row r="130" spans="1:7" x14ac:dyDescent="0.3">
      <c r="A130">
        <v>129</v>
      </c>
      <c r="B130">
        <v>63</v>
      </c>
      <c r="C130">
        <v>0</v>
      </c>
      <c r="D130">
        <v>0</v>
      </c>
      <c r="E130">
        <v>0</v>
      </c>
      <c r="F130">
        <v>1048</v>
      </c>
      <c r="G130">
        <f t="shared" si="1"/>
        <v>882.77127719845635</v>
      </c>
    </row>
    <row r="131" spans="1:7" x14ac:dyDescent="0.3">
      <c r="A131">
        <v>130</v>
      </c>
      <c r="B131">
        <v>62.7</v>
      </c>
      <c r="C131">
        <v>0</v>
      </c>
      <c r="D131">
        <v>0</v>
      </c>
      <c r="E131">
        <v>0</v>
      </c>
      <c r="F131">
        <v>1347</v>
      </c>
      <c r="G131">
        <f t="shared" ref="G131:G194" si="2">$I$2+A131*$J$2+B131*$K$2+C131*$L$2+D131*$M$2+E131*$N$2</f>
        <v>871.86257694062351</v>
      </c>
    </row>
    <row r="132" spans="1:7" x14ac:dyDescent="0.3">
      <c r="A132">
        <v>131</v>
      </c>
      <c r="B132">
        <v>62.5</v>
      </c>
      <c r="C132">
        <v>0</v>
      </c>
      <c r="D132">
        <v>0</v>
      </c>
      <c r="E132">
        <v>0</v>
      </c>
      <c r="F132">
        <v>2468</v>
      </c>
      <c r="G132">
        <f t="shared" si="2"/>
        <v>860.95387668279068</v>
      </c>
    </row>
    <row r="133" spans="1:7" x14ac:dyDescent="0.3">
      <c r="A133">
        <v>132</v>
      </c>
      <c r="B133">
        <v>62.4</v>
      </c>
      <c r="C133">
        <v>0</v>
      </c>
      <c r="D133">
        <v>0</v>
      </c>
      <c r="E133">
        <v>0</v>
      </c>
      <c r="F133">
        <v>3651</v>
      </c>
      <c r="G133">
        <f t="shared" si="2"/>
        <v>850.04517642495784</v>
      </c>
    </row>
    <row r="134" spans="1:7" x14ac:dyDescent="0.3">
      <c r="A134">
        <v>133</v>
      </c>
      <c r="B134">
        <v>62.5</v>
      </c>
      <c r="C134">
        <v>0</v>
      </c>
      <c r="D134">
        <v>1</v>
      </c>
      <c r="E134">
        <v>0</v>
      </c>
      <c r="F134">
        <v>910</v>
      </c>
      <c r="G134">
        <f t="shared" si="2"/>
        <v>243.47997881376682</v>
      </c>
    </row>
    <row r="135" spans="1:7" x14ac:dyDescent="0.3">
      <c r="A135">
        <v>134</v>
      </c>
      <c r="B135">
        <v>62.5</v>
      </c>
      <c r="C135">
        <v>0</v>
      </c>
      <c r="D135">
        <v>1</v>
      </c>
      <c r="E135">
        <v>0</v>
      </c>
      <c r="F135">
        <v>940</v>
      </c>
      <c r="G135">
        <f t="shared" si="2"/>
        <v>232.57127855593399</v>
      </c>
    </row>
    <row r="136" spans="1:7" x14ac:dyDescent="0.3">
      <c r="A136">
        <v>135</v>
      </c>
      <c r="B136">
        <v>62.4</v>
      </c>
      <c r="C136">
        <v>0</v>
      </c>
      <c r="D136">
        <v>1</v>
      </c>
      <c r="E136">
        <v>0</v>
      </c>
      <c r="F136">
        <v>1111</v>
      </c>
      <c r="G136">
        <f t="shared" si="2"/>
        <v>221.66257829810093</v>
      </c>
    </row>
    <row r="137" spans="1:7" x14ac:dyDescent="0.3">
      <c r="A137">
        <v>136</v>
      </c>
      <c r="B137">
        <v>62.4</v>
      </c>
      <c r="C137">
        <v>0</v>
      </c>
      <c r="D137">
        <v>0</v>
      </c>
      <c r="E137">
        <v>1</v>
      </c>
      <c r="F137">
        <v>1139</v>
      </c>
      <c r="G137">
        <f t="shared" si="2"/>
        <v>806.41037539362628</v>
      </c>
    </row>
    <row r="138" spans="1:7" x14ac:dyDescent="0.3">
      <c r="A138">
        <v>137</v>
      </c>
      <c r="B138">
        <v>62.3</v>
      </c>
      <c r="C138">
        <v>0</v>
      </c>
      <c r="D138">
        <v>0</v>
      </c>
      <c r="E138">
        <v>1</v>
      </c>
      <c r="F138">
        <v>1088</v>
      </c>
      <c r="G138">
        <f t="shared" si="2"/>
        <v>795.50167513579345</v>
      </c>
    </row>
    <row r="139" spans="1:7" x14ac:dyDescent="0.3">
      <c r="A139">
        <v>138</v>
      </c>
      <c r="B139">
        <v>62.3</v>
      </c>
      <c r="C139">
        <v>0</v>
      </c>
      <c r="D139">
        <v>0</v>
      </c>
      <c r="E139">
        <v>1</v>
      </c>
      <c r="F139">
        <v>1064</v>
      </c>
      <c r="G139">
        <f t="shared" si="2"/>
        <v>784.59297487796061</v>
      </c>
    </row>
    <row r="140" spans="1:7" x14ac:dyDescent="0.3">
      <c r="A140">
        <v>139</v>
      </c>
      <c r="B140">
        <v>62.1</v>
      </c>
      <c r="C140">
        <v>0</v>
      </c>
      <c r="D140">
        <v>0</v>
      </c>
      <c r="E140">
        <v>0</v>
      </c>
      <c r="F140">
        <v>1094</v>
      </c>
      <c r="G140">
        <f t="shared" si="2"/>
        <v>773.68427462012778</v>
      </c>
    </row>
    <row r="141" spans="1:7" x14ac:dyDescent="0.3">
      <c r="A141">
        <v>140</v>
      </c>
      <c r="B141">
        <v>62.1</v>
      </c>
      <c r="C141">
        <v>0</v>
      </c>
      <c r="D141">
        <v>0</v>
      </c>
      <c r="E141">
        <v>0</v>
      </c>
      <c r="F141">
        <v>1087</v>
      </c>
      <c r="G141">
        <f t="shared" si="2"/>
        <v>762.77557436229495</v>
      </c>
    </row>
    <row r="142" spans="1:7" x14ac:dyDescent="0.3">
      <c r="A142">
        <v>141</v>
      </c>
      <c r="B142">
        <v>62</v>
      </c>
      <c r="C142">
        <v>0</v>
      </c>
      <c r="D142">
        <v>0</v>
      </c>
      <c r="E142">
        <v>0</v>
      </c>
      <c r="F142">
        <v>1095</v>
      </c>
      <c r="G142">
        <f t="shared" si="2"/>
        <v>751.86687410446211</v>
      </c>
    </row>
    <row r="143" spans="1:7" x14ac:dyDescent="0.3">
      <c r="A143">
        <v>142</v>
      </c>
      <c r="B143">
        <v>62.1</v>
      </c>
      <c r="C143">
        <v>0</v>
      </c>
      <c r="D143">
        <v>0</v>
      </c>
      <c r="E143">
        <v>0</v>
      </c>
      <c r="F143">
        <v>1286</v>
      </c>
      <c r="G143">
        <f t="shared" si="2"/>
        <v>740.95817384662928</v>
      </c>
    </row>
    <row r="144" spans="1:7" x14ac:dyDescent="0.3">
      <c r="A144">
        <v>143</v>
      </c>
      <c r="B144">
        <v>62.3</v>
      </c>
      <c r="C144">
        <v>0</v>
      </c>
      <c r="D144">
        <v>0</v>
      </c>
      <c r="E144">
        <v>0</v>
      </c>
      <c r="F144">
        <v>2223</v>
      </c>
      <c r="G144">
        <f t="shared" si="2"/>
        <v>730.04947358879645</v>
      </c>
    </row>
    <row r="145" spans="1:7" x14ac:dyDescent="0.3">
      <c r="A145">
        <v>144</v>
      </c>
      <c r="B145">
        <v>62.2</v>
      </c>
      <c r="C145">
        <v>0</v>
      </c>
      <c r="D145">
        <v>0</v>
      </c>
      <c r="E145">
        <v>0</v>
      </c>
      <c r="F145">
        <v>3545</v>
      </c>
      <c r="G145">
        <f t="shared" si="2"/>
        <v>719.14077333096361</v>
      </c>
    </row>
    <row r="146" spans="1:7" x14ac:dyDescent="0.3">
      <c r="A146">
        <v>145</v>
      </c>
      <c r="B146">
        <v>62.3</v>
      </c>
      <c r="C146">
        <v>0</v>
      </c>
      <c r="D146">
        <v>1</v>
      </c>
      <c r="E146">
        <v>0</v>
      </c>
      <c r="F146">
        <v>962</v>
      </c>
      <c r="G146">
        <f t="shared" si="2"/>
        <v>112.57557571977259</v>
      </c>
    </row>
    <row r="147" spans="1:7" x14ac:dyDescent="0.3">
      <c r="A147">
        <v>146</v>
      </c>
      <c r="B147">
        <v>62.3</v>
      </c>
      <c r="C147">
        <v>0</v>
      </c>
      <c r="D147">
        <v>1</v>
      </c>
      <c r="E147">
        <v>0</v>
      </c>
      <c r="F147">
        <v>1045</v>
      </c>
      <c r="G147">
        <f t="shared" si="2"/>
        <v>101.66687546193975</v>
      </c>
    </row>
    <row r="148" spans="1:7" x14ac:dyDescent="0.3">
      <c r="A148">
        <v>147</v>
      </c>
      <c r="B148">
        <v>62.2</v>
      </c>
      <c r="C148">
        <v>0</v>
      </c>
      <c r="D148">
        <v>1</v>
      </c>
      <c r="E148">
        <v>0</v>
      </c>
      <c r="F148">
        <v>1125</v>
      </c>
      <c r="G148">
        <f t="shared" si="2"/>
        <v>90.758175204106919</v>
      </c>
    </row>
    <row r="149" spans="1:7" x14ac:dyDescent="0.3">
      <c r="A149">
        <v>148</v>
      </c>
      <c r="B149">
        <v>62.3</v>
      </c>
      <c r="C149">
        <v>0</v>
      </c>
      <c r="D149">
        <v>0</v>
      </c>
      <c r="E149">
        <v>1</v>
      </c>
      <c r="F149">
        <v>1082</v>
      </c>
      <c r="G149">
        <f t="shared" si="2"/>
        <v>675.50597229963205</v>
      </c>
    </row>
    <row r="150" spans="1:7" x14ac:dyDescent="0.3">
      <c r="A150">
        <v>149</v>
      </c>
      <c r="B150">
        <v>62.3</v>
      </c>
      <c r="C150">
        <v>0</v>
      </c>
      <c r="D150">
        <v>0</v>
      </c>
      <c r="E150">
        <v>1</v>
      </c>
      <c r="F150">
        <v>974</v>
      </c>
      <c r="G150">
        <f t="shared" si="2"/>
        <v>664.59727204179922</v>
      </c>
    </row>
    <row r="151" spans="1:7" x14ac:dyDescent="0.3">
      <c r="A151">
        <v>150</v>
      </c>
      <c r="B151">
        <v>62.4</v>
      </c>
      <c r="C151">
        <v>0</v>
      </c>
      <c r="D151">
        <v>0</v>
      </c>
      <c r="E151">
        <v>1</v>
      </c>
      <c r="F151">
        <v>1024</v>
      </c>
      <c r="G151">
        <f t="shared" si="2"/>
        <v>653.68857178396638</v>
      </c>
    </row>
    <row r="152" spans="1:7" x14ac:dyDescent="0.3">
      <c r="A152">
        <v>151</v>
      </c>
      <c r="B152">
        <v>62.5</v>
      </c>
      <c r="C152">
        <v>0</v>
      </c>
      <c r="D152">
        <v>0</v>
      </c>
      <c r="E152">
        <v>0</v>
      </c>
      <c r="F152">
        <v>1086</v>
      </c>
      <c r="G152">
        <f t="shared" si="2"/>
        <v>642.77987152613355</v>
      </c>
    </row>
    <row r="153" spans="1:7" x14ac:dyDescent="0.3">
      <c r="A153">
        <v>152</v>
      </c>
      <c r="B153">
        <v>62.4</v>
      </c>
      <c r="C153">
        <v>0</v>
      </c>
      <c r="D153">
        <v>0</v>
      </c>
      <c r="E153">
        <v>0</v>
      </c>
      <c r="F153">
        <v>1016</v>
      </c>
      <c r="G153">
        <f t="shared" si="2"/>
        <v>631.87117126830071</v>
      </c>
    </row>
    <row r="154" spans="1:7" x14ac:dyDescent="0.3">
      <c r="A154">
        <v>153</v>
      </c>
      <c r="B154">
        <v>62.3</v>
      </c>
      <c r="C154">
        <v>0</v>
      </c>
      <c r="D154">
        <v>0</v>
      </c>
      <c r="E154">
        <v>0</v>
      </c>
      <c r="F154">
        <v>1051</v>
      </c>
      <c r="G154">
        <f t="shared" si="2"/>
        <v>620.96247101046788</v>
      </c>
    </row>
    <row r="155" spans="1:7" x14ac:dyDescent="0.3">
      <c r="A155">
        <v>154</v>
      </c>
      <c r="B155">
        <v>62.3</v>
      </c>
      <c r="C155">
        <v>0</v>
      </c>
      <c r="D155">
        <v>0</v>
      </c>
      <c r="E155">
        <v>0</v>
      </c>
      <c r="F155">
        <v>1311</v>
      </c>
      <c r="G155">
        <f t="shared" si="2"/>
        <v>610.05377075263505</v>
      </c>
    </row>
    <row r="156" spans="1:7" x14ac:dyDescent="0.3">
      <c r="A156">
        <v>155</v>
      </c>
      <c r="B156">
        <v>62.5</v>
      </c>
      <c r="C156">
        <v>0</v>
      </c>
      <c r="D156">
        <v>0</v>
      </c>
      <c r="E156">
        <v>0</v>
      </c>
      <c r="F156">
        <v>2187</v>
      </c>
      <c r="G156">
        <f t="shared" si="2"/>
        <v>599.14507049480221</v>
      </c>
    </row>
    <row r="157" spans="1:7" x14ac:dyDescent="0.3">
      <c r="A157">
        <v>156</v>
      </c>
      <c r="B157">
        <v>62.4</v>
      </c>
      <c r="C157">
        <v>0</v>
      </c>
      <c r="D157">
        <v>0</v>
      </c>
      <c r="E157">
        <v>0</v>
      </c>
      <c r="F157">
        <v>3451</v>
      </c>
      <c r="G157">
        <f t="shared" si="2"/>
        <v>588.23637023696938</v>
      </c>
    </row>
    <row r="158" spans="1:7" x14ac:dyDescent="0.3">
      <c r="A158">
        <v>157</v>
      </c>
      <c r="B158">
        <v>62.4</v>
      </c>
      <c r="C158">
        <v>0</v>
      </c>
      <c r="D158">
        <v>1</v>
      </c>
      <c r="E158">
        <v>0</v>
      </c>
      <c r="F158">
        <v>950</v>
      </c>
      <c r="G158">
        <f t="shared" si="2"/>
        <v>-18.328827374221646</v>
      </c>
    </row>
    <row r="159" spans="1:7" x14ac:dyDescent="0.3">
      <c r="A159">
        <v>158</v>
      </c>
      <c r="B159">
        <v>62.4</v>
      </c>
      <c r="C159">
        <v>0</v>
      </c>
      <c r="D159">
        <v>1</v>
      </c>
      <c r="E159">
        <v>0</v>
      </c>
      <c r="F159">
        <v>980</v>
      </c>
      <c r="G159">
        <f t="shared" si="2"/>
        <v>-29.23752763205448</v>
      </c>
    </row>
    <row r="160" spans="1:7" x14ac:dyDescent="0.3">
      <c r="A160">
        <v>159</v>
      </c>
      <c r="B160">
        <v>62.4</v>
      </c>
      <c r="C160">
        <v>0</v>
      </c>
      <c r="D160">
        <v>1</v>
      </c>
      <c r="E160">
        <v>0</v>
      </c>
      <c r="F160">
        <v>1173</v>
      </c>
      <c r="G160">
        <f t="shared" si="2"/>
        <v>-40.146227889887314</v>
      </c>
    </row>
    <row r="161" spans="1:7" x14ac:dyDescent="0.3">
      <c r="A161">
        <v>160</v>
      </c>
      <c r="B161">
        <v>62.7</v>
      </c>
      <c r="C161">
        <v>0</v>
      </c>
      <c r="D161">
        <v>0</v>
      </c>
      <c r="E161">
        <v>1</v>
      </c>
      <c r="F161">
        <v>1098</v>
      </c>
      <c r="G161">
        <f t="shared" si="2"/>
        <v>544.60156920563804</v>
      </c>
    </row>
    <row r="162" spans="1:7" x14ac:dyDescent="0.3">
      <c r="A162">
        <v>161</v>
      </c>
      <c r="B162">
        <v>62.8</v>
      </c>
      <c r="C162">
        <v>0</v>
      </c>
      <c r="D162">
        <v>0</v>
      </c>
      <c r="E162">
        <v>1</v>
      </c>
      <c r="F162">
        <v>1061</v>
      </c>
      <c r="G162">
        <f t="shared" si="2"/>
        <v>533.69286894780498</v>
      </c>
    </row>
    <row r="163" spans="1:7" x14ac:dyDescent="0.3">
      <c r="A163">
        <v>162</v>
      </c>
      <c r="B163">
        <v>62.7</v>
      </c>
      <c r="C163">
        <v>0</v>
      </c>
      <c r="D163">
        <v>0</v>
      </c>
      <c r="E163">
        <v>1</v>
      </c>
      <c r="F163">
        <v>1049</v>
      </c>
      <c r="G163">
        <f t="shared" si="2"/>
        <v>522.78416868997215</v>
      </c>
    </row>
    <row r="164" spans="1:7" x14ac:dyDescent="0.3">
      <c r="A164">
        <v>163</v>
      </c>
      <c r="B164">
        <v>62.8</v>
      </c>
      <c r="C164">
        <v>0</v>
      </c>
      <c r="D164">
        <v>0</v>
      </c>
      <c r="E164">
        <v>0</v>
      </c>
      <c r="F164">
        <v>1077</v>
      </c>
      <c r="G164">
        <f t="shared" si="2"/>
        <v>511.87546843213931</v>
      </c>
    </row>
    <row r="165" spans="1:7" x14ac:dyDescent="0.3">
      <c r="A165">
        <v>164</v>
      </c>
      <c r="B165">
        <v>62.9</v>
      </c>
      <c r="C165">
        <v>0</v>
      </c>
      <c r="D165">
        <v>0</v>
      </c>
      <c r="E165">
        <v>0</v>
      </c>
      <c r="F165">
        <v>1028</v>
      </c>
      <c r="G165">
        <f t="shared" si="2"/>
        <v>500.96676817430648</v>
      </c>
    </row>
    <row r="166" spans="1:7" x14ac:dyDescent="0.3">
      <c r="A166">
        <v>165</v>
      </c>
      <c r="B166">
        <v>62.8</v>
      </c>
      <c r="C166">
        <v>0</v>
      </c>
      <c r="D166">
        <v>0</v>
      </c>
      <c r="E166">
        <v>0</v>
      </c>
      <c r="F166">
        <v>1019</v>
      </c>
      <c r="G166">
        <f t="shared" si="2"/>
        <v>490.05806791647365</v>
      </c>
    </row>
    <row r="167" spans="1:7" x14ac:dyDescent="0.3">
      <c r="A167">
        <v>166</v>
      </c>
      <c r="B167">
        <v>62.8</v>
      </c>
      <c r="C167">
        <v>0</v>
      </c>
      <c r="D167">
        <v>0</v>
      </c>
      <c r="E167">
        <v>0</v>
      </c>
      <c r="F167">
        <v>1229</v>
      </c>
      <c r="G167">
        <f t="shared" si="2"/>
        <v>479.14936765864081</v>
      </c>
    </row>
    <row r="168" spans="1:7" x14ac:dyDescent="0.3">
      <c r="A168">
        <v>167</v>
      </c>
      <c r="B168">
        <v>62.7</v>
      </c>
      <c r="C168">
        <v>0</v>
      </c>
      <c r="D168">
        <v>0</v>
      </c>
      <c r="E168">
        <v>0</v>
      </c>
      <c r="F168">
        <v>2120</v>
      </c>
      <c r="G168">
        <f t="shared" si="2"/>
        <v>468.24066740080798</v>
      </c>
    </row>
    <row r="169" spans="1:7" x14ac:dyDescent="0.3">
      <c r="A169">
        <v>168</v>
      </c>
      <c r="B169">
        <v>62.8</v>
      </c>
      <c r="C169">
        <v>0</v>
      </c>
      <c r="D169">
        <v>0</v>
      </c>
      <c r="E169">
        <v>0</v>
      </c>
      <c r="F169">
        <v>3471</v>
      </c>
      <c r="G169">
        <f t="shared" si="2"/>
        <v>457.33196714297515</v>
      </c>
    </row>
    <row r="170" spans="1:7" x14ac:dyDescent="0.3">
      <c r="A170">
        <v>169</v>
      </c>
      <c r="B170">
        <v>62.9</v>
      </c>
      <c r="C170">
        <v>0</v>
      </c>
      <c r="D170">
        <v>1</v>
      </c>
      <c r="E170">
        <v>0</v>
      </c>
      <c r="F170">
        <v>1063</v>
      </c>
      <c r="G170">
        <f t="shared" si="2"/>
        <v>-149.23323046821588</v>
      </c>
    </row>
    <row r="171" spans="1:7" x14ac:dyDescent="0.3">
      <c r="A171">
        <v>170</v>
      </c>
      <c r="B171">
        <v>63</v>
      </c>
      <c r="C171">
        <v>0</v>
      </c>
      <c r="D171">
        <v>1</v>
      </c>
      <c r="E171">
        <v>0</v>
      </c>
      <c r="F171">
        <v>1022</v>
      </c>
      <c r="G171">
        <f t="shared" si="2"/>
        <v>-160.14193072604871</v>
      </c>
    </row>
    <row r="172" spans="1:7" x14ac:dyDescent="0.3">
      <c r="A172">
        <v>171</v>
      </c>
      <c r="B172">
        <v>63.1</v>
      </c>
      <c r="C172">
        <v>0</v>
      </c>
      <c r="D172">
        <v>1</v>
      </c>
      <c r="E172">
        <v>0</v>
      </c>
      <c r="F172">
        <v>1117</v>
      </c>
      <c r="G172">
        <f t="shared" si="2"/>
        <v>-171.05063098388155</v>
      </c>
    </row>
    <row r="173" spans="1:7" x14ac:dyDescent="0.3">
      <c r="A173">
        <v>172</v>
      </c>
      <c r="B173">
        <v>63</v>
      </c>
      <c r="C173">
        <v>0</v>
      </c>
      <c r="D173">
        <v>0</v>
      </c>
      <c r="E173">
        <v>1</v>
      </c>
      <c r="F173">
        <v>1094</v>
      </c>
      <c r="G173">
        <f t="shared" si="2"/>
        <v>413.69716611164381</v>
      </c>
    </row>
    <row r="174" spans="1:7" x14ac:dyDescent="0.3">
      <c r="A174">
        <v>173</v>
      </c>
      <c r="B174">
        <v>63.1</v>
      </c>
      <c r="C174">
        <v>0</v>
      </c>
      <c r="D174">
        <v>0</v>
      </c>
      <c r="E174">
        <v>1</v>
      </c>
      <c r="F174">
        <v>1040</v>
      </c>
      <c r="G174">
        <f t="shared" si="2"/>
        <v>402.78846585381075</v>
      </c>
    </row>
    <row r="175" spans="1:7" x14ac:dyDescent="0.3">
      <c r="A175">
        <v>174</v>
      </c>
      <c r="B175">
        <v>63.1</v>
      </c>
      <c r="C175">
        <v>0</v>
      </c>
      <c r="D175">
        <v>0</v>
      </c>
      <c r="E175">
        <v>1</v>
      </c>
      <c r="F175">
        <v>1048</v>
      </c>
      <c r="G175">
        <f t="shared" si="2"/>
        <v>391.87976559597791</v>
      </c>
    </row>
    <row r="176" spans="1:7" x14ac:dyDescent="0.3">
      <c r="A176">
        <v>175</v>
      </c>
      <c r="B176">
        <v>63</v>
      </c>
      <c r="C176">
        <v>0</v>
      </c>
      <c r="D176">
        <v>0</v>
      </c>
      <c r="E176">
        <v>0</v>
      </c>
      <c r="F176">
        <v>1070</v>
      </c>
      <c r="G176">
        <f t="shared" si="2"/>
        <v>380.97106533814508</v>
      </c>
    </row>
    <row r="177" spans="1:7" x14ac:dyDescent="0.3">
      <c r="A177">
        <v>176</v>
      </c>
      <c r="B177">
        <v>63.1</v>
      </c>
      <c r="C177">
        <v>0</v>
      </c>
      <c r="D177">
        <v>0</v>
      </c>
      <c r="E177">
        <v>0</v>
      </c>
      <c r="F177">
        <v>1043</v>
      </c>
      <c r="G177">
        <f t="shared" si="2"/>
        <v>370.06236508031225</v>
      </c>
    </row>
    <row r="178" spans="1:7" x14ac:dyDescent="0.3">
      <c r="A178">
        <v>177</v>
      </c>
      <c r="B178">
        <v>63.1</v>
      </c>
      <c r="C178">
        <v>0</v>
      </c>
      <c r="D178">
        <v>0</v>
      </c>
      <c r="E178">
        <v>0</v>
      </c>
      <c r="F178">
        <v>1086</v>
      </c>
      <c r="G178">
        <f t="shared" si="2"/>
        <v>359.15366482247941</v>
      </c>
    </row>
    <row r="179" spans="1:7" x14ac:dyDescent="0.3">
      <c r="A179">
        <v>178</v>
      </c>
      <c r="B179">
        <v>63.3</v>
      </c>
      <c r="C179">
        <v>0</v>
      </c>
      <c r="D179">
        <v>0</v>
      </c>
      <c r="E179">
        <v>0</v>
      </c>
      <c r="F179">
        <v>1205</v>
      </c>
      <c r="G179">
        <f t="shared" si="2"/>
        <v>348.24496456464658</v>
      </c>
    </row>
    <row r="180" spans="1:7" x14ac:dyDescent="0.3">
      <c r="A180">
        <v>179</v>
      </c>
      <c r="B180">
        <v>63.3</v>
      </c>
      <c r="C180">
        <v>0</v>
      </c>
      <c r="D180">
        <v>0</v>
      </c>
      <c r="E180">
        <v>0</v>
      </c>
      <c r="F180">
        <v>1933</v>
      </c>
      <c r="G180">
        <f t="shared" si="2"/>
        <v>337.33626430681375</v>
      </c>
    </row>
    <row r="181" spans="1:7" x14ac:dyDescent="0.3">
      <c r="A181">
        <v>180</v>
      </c>
      <c r="B181">
        <v>63.4</v>
      </c>
      <c r="C181">
        <v>0</v>
      </c>
      <c r="D181">
        <v>0</v>
      </c>
      <c r="E181">
        <v>0</v>
      </c>
      <c r="F181">
        <v>3299</v>
      </c>
      <c r="G181">
        <f t="shared" si="2"/>
        <v>326.42756404898091</v>
      </c>
    </row>
    <row r="182" spans="1:7" x14ac:dyDescent="0.3">
      <c r="A182">
        <v>181</v>
      </c>
      <c r="B182">
        <v>63.3</v>
      </c>
      <c r="C182">
        <v>0</v>
      </c>
      <c r="D182">
        <v>1</v>
      </c>
      <c r="E182">
        <v>0</v>
      </c>
      <c r="F182">
        <v>948</v>
      </c>
      <c r="G182">
        <f t="shared" si="2"/>
        <v>-280.13763356221011</v>
      </c>
    </row>
    <row r="183" spans="1:7" x14ac:dyDescent="0.3">
      <c r="A183">
        <v>182</v>
      </c>
      <c r="B183">
        <v>63.3</v>
      </c>
      <c r="C183">
        <v>0</v>
      </c>
      <c r="D183">
        <v>1</v>
      </c>
      <c r="E183">
        <v>0</v>
      </c>
      <c r="F183">
        <v>974</v>
      </c>
      <c r="G183">
        <f t="shared" si="2"/>
        <v>-291.04633382004295</v>
      </c>
    </row>
    <row r="184" spans="1:7" x14ac:dyDescent="0.3">
      <c r="A184">
        <v>183</v>
      </c>
      <c r="B184">
        <v>63.3</v>
      </c>
      <c r="C184">
        <v>0</v>
      </c>
      <c r="D184">
        <v>1</v>
      </c>
      <c r="E184">
        <v>0</v>
      </c>
      <c r="F184">
        <v>1188</v>
      </c>
      <c r="G184">
        <f t="shared" si="2"/>
        <v>-301.95503407787578</v>
      </c>
    </row>
    <row r="185" spans="1:7" x14ac:dyDescent="0.3">
      <c r="A185">
        <v>184</v>
      </c>
      <c r="B185">
        <v>63</v>
      </c>
      <c r="C185">
        <v>0</v>
      </c>
      <c r="D185">
        <v>0</v>
      </c>
      <c r="E185">
        <v>1</v>
      </c>
      <c r="F185">
        <v>1064</v>
      </c>
      <c r="G185">
        <f t="shared" si="2"/>
        <v>282.79276301764958</v>
      </c>
    </row>
    <row r="186" spans="1:7" x14ac:dyDescent="0.3">
      <c r="A186">
        <v>185</v>
      </c>
      <c r="B186">
        <v>63</v>
      </c>
      <c r="C186">
        <v>0</v>
      </c>
      <c r="D186">
        <v>0</v>
      </c>
      <c r="E186">
        <v>1</v>
      </c>
      <c r="F186">
        <v>1050</v>
      </c>
      <c r="G186">
        <f t="shared" si="2"/>
        <v>271.88406275981674</v>
      </c>
    </row>
    <row r="187" spans="1:7" x14ac:dyDescent="0.3">
      <c r="A187">
        <v>186</v>
      </c>
      <c r="B187">
        <v>63</v>
      </c>
      <c r="C187">
        <v>0</v>
      </c>
      <c r="D187">
        <v>0</v>
      </c>
      <c r="E187">
        <v>1</v>
      </c>
      <c r="F187">
        <v>1096</v>
      </c>
      <c r="G187">
        <f t="shared" si="2"/>
        <v>260.97536250198368</v>
      </c>
    </row>
    <row r="188" spans="1:7" x14ac:dyDescent="0.3">
      <c r="A188">
        <v>187</v>
      </c>
      <c r="B188">
        <v>62.9</v>
      </c>
      <c r="C188">
        <v>0</v>
      </c>
      <c r="D188">
        <v>0</v>
      </c>
      <c r="E188">
        <v>0</v>
      </c>
      <c r="F188">
        <v>1102</v>
      </c>
      <c r="G188">
        <f t="shared" si="2"/>
        <v>250.06666224415085</v>
      </c>
    </row>
    <row r="189" spans="1:7" x14ac:dyDescent="0.3">
      <c r="A189">
        <v>188</v>
      </c>
      <c r="B189">
        <v>62.7</v>
      </c>
      <c r="C189">
        <v>0</v>
      </c>
      <c r="D189">
        <v>0</v>
      </c>
      <c r="E189">
        <v>0</v>
      </c>
      <c r="F189">
        <v>1084</v>
      </c>
      <c r="G189">
        <f t="shared" si="2"/>
        <v>239.15796198631824</v>
      </c>
    </row>
    <row r="190" spans="1:7" x14ac:dyDescent="0.3">
      <c r="A190">
        <v>189</v>
      </c>
      <c r="B190">
        <v>62.9</v>
      </c>
      <c r="C190">
        <v>0</v>
      </c>
      <c r="D190">
        <v>0</v>
      </c>
      <c r="E190">
        <v>0</v>
      </c>
      <c r="F190">
        <v>1102</v>
      </c>
      <c r="G190">
        <f t="shared" si="2"/>
        <v>228.24926172848518</v>
      </c>
    </row>
    <row r="191" spans="1:7" x14ac:dyDescent="0.3">
      <c r="A191">
        <v>190</v>
      </c>
      <c r="B191">
        <v>62.7</v>
      </c>
      <c r="C191">
        <v>0</v>
      </c>
      <c r="D191">
        <v>0</v>
      </c>
      <c r="E191">
        <v>0</v>
      </c>
      <c r="F191">
        <v>1275</v>
      </c>
      <c r="G191">
        <f t="shared" si="2"/>
        <v>217.34056147065257</v>
      </c>
    </row>
    <row r="192" spans="1:7" x14ac:dyDescent="0.3">
      <c r="A192">
        <v>191</v>
      </c>
      <c r="B192">
        <v>62.9</v>
      </c>
      <c r="C192">
        <v>0</v>
      </c>
      <c r="D192">
        <v>0</v>
      </c>
      <c r="E192">
        <v>0</v>
      </c>
      <c r="F192">
        <v>2208</v>
      </c>
      <c r="G192">
        <f t="shared" si="2"/>
        <v>206.43186121281951</v>
      </c>
    </row>
    <row r="193" spans="1:7" x14ac:dyDescent="0.3">
      <c r="A193">
        <v>192</v>
      </c>
      <c r="B193">
        <v>62.7</v>
      </c>
      <c r="C193">
        <v>0</v>
      </c>
      <c r="D193">
        <v>0</v>
      </c>
      <c r="E193">
        <v>0</v>
      </c>
      <c r="F193">
        <v>3253</v>
      </c>
      <c r="G193">
        <f t="shared" si="2"/>
        <v>195.52316095498645</v>
      </c>
    </row>
    <row r="194" spans="1:7" x14ac:dyDescent="0.3">
      <c r="A194">
        <v>193</v>
      </c>
      <c r="B194">
        <v>62.9</v>
      </c>
      <c r="C194">
        <v>0</v>
      </c>
      <c r="D194">
        <v>1</v>
      </c>
      <c r="E194">
        <v>0</v>
      </c>
      <c r="F194">
        <v>1045</v>
      </c>
      <c r="G194">
        <f t="shared" si="2"/>
        <v>-411.04203665620435</v>
      </c>
    </row>
    <row r="195" spans="1:7" x14ac:dyDescent="0.3">
      <c r="A195">
        <v>194</v>
      </c>
      <c r="B195">
        <v>62.8</v>
      </c>
      <c r="C195">
        <v>0</v>
      </c>
      <c r="D195">
        <v>1</v>
      </c>
      <c r="E195">
        <v>0</v>
      </c>
      <c r="F195">
        <v>1078</v>
      </c>
      <c r="G195">
        <f t="shared" ref="G195:G258" si="3">$I$2+A195*$J$2+B195*$K$2+C195*$L$2+D195*$M$2+E195*$N$2</f>
        <v>-421.95073691403741</v>
      </c>
    </row>
    <row r="196" spans="1:7" x14ac:dyDescent="0.3">
      <c r="A196">
        <v>195</v>
      </c>
      <c r="B196">
        <v>62.7</v>
      </c>
      <c r="C196">
        <v>0</v>
      </c>
      <c r="D196">
        <v>1</v>
      </c>
      <c r="E196">
        <v>0</v>
      </c>
      <c r="F196">
        <v>1185</v>
      </c>
      <c r="G196">
        <f t="shared" si="3"/>
        <v>-432.85943717187001</v>
      </c>
    </row>
    <row r="197" spans="1:7" x14ac:dyDescent="0.3">
      <c r="A197">
        <v>196</v>
      </c>
      <c r="B197">
        <v>62.7</v>
      </c>
      <c r="C197">
        <v>0</v>
      </c>
      <c r="D197">
        <v>0</v>
      </c>
      <c r="E197">
        <v>1</v>
      </c>
      <c r="F197">
        <v>1082</v>
      </c>
      <c r="G197">
        <f t="shared" si="3"/>
        <v>151.88835992365512</v>
      </c>
    </row>
    <row r="198" spans="1:7" x14ac:dyDescent="0.3">
      <c r="A198">
        <v>197</v>
      </c>
      <c r="B198">
        <v>62.5</v>
      </c>
      <c r="C198">
        <v>0</v>
      </c>
      <c r="D198">
        <v>0</v>
      </c>
      <c r="E198">
        <v>1</v>
      </c>
      <c r="F198">
        <v>1132</v>
      </c>
      <c r="G198">
        <f t="shared" si="3"/>
        <v>140.97965966582251</v>
      </c>
    </row>
    <row r="199" spans="1:7" x14ac:dyDescent="0.3">
      <c r="A199">
        <v>198</v>
      </c>
      <c r="B199">
        <v>62.4</v>
      </c>
      <c r="C199">
        <v>0</v>
      </c>
      <c r="D199">
        <v>0</v>
      </c>
      <c r="E199">
        <v>1</v>
      </c>
      <c r="F199">
        <v>1045</v>
      </c>
      <c r="G199">
        <f t="shared" si="3"/>
        <v>130.07095940798945</v>
      </c>
    </row>
    <row r="200" spans="1:7" x14ac:dyDescent="0.3">
      <c r="A200">
        <v>199</v>
      </c>
      <c r="B200">
        <v>62.2</v>
      </c>
      <c r="C200">
        <v>0</v>
      </c>
      <c r="D200">
        <v>0</v>
      </c>
      <c r="E200">
        <v>0</v>
      </c>
      <c r="F200">
        <v>1100</v>
      </c>
      <c r="G200">
        <f t="shared" si="3"/>
        <v>119.16225915015684</v>
      </c>
    </row>
    <row r="201" spans="1:7" x14ac:dyDescent="0.3">
      <c r="A201">
        <v>200</v>
      </c>
      <c r="B201">
        <v>62</v>
      </c>
      <c r="C201">
        <v>0</v>
      </c>
      <c r="D201">
        <v>0</v>
      </c>
      <c r="E201">
        <v>0</v>
      </c>
      <c r="F201">
        <v>1067</v>
      </c>
      <c r="G201">
        <f t="shared" si="3"/>
        <v>108.25355889232378</v>
      </c>
    </row>
    <row r="202" spans="1:7" x14ac:dyDescent="0.3">
      <c r="A202">
        <v>201</v>
      </c>
      <c r="B202">
        <v>61.9</v>
      </c>
      <c r="C202">
        <v>0</v>
      </c>
      <c r="D202">
        <v>0</v>
      </c>
      <c r="E202">
        <v>0</v>
      </c>
      <c r="F202">
        <v>1063</v>
      </c>
      <c r="G202">
        <f t="shared" si="3"/>
        <v>97.344858634491175</v>
      </c>
    </row>
    <row r="203" spans="1:7" x14ac:dyDescent="0.3">
      <c r="A203">
        <v>202</v>
      </c>
      <c r="B203">
        <v>61.7</v>
      </c>
      <c r="C203">
        <v>0</v>
      </c>
      <c r="D203">
        <v>0</v>
      </c>
      <c r="E203">
        <v>0</v>
      </c>
      <c r="F203">
        <v>1221</v>
      </c>
      <c r="G203">
        <f t="shared" si="3"/>
        <v>86.436158376658113</v>
      </c>
    </row>
    <row r="204" spans="1:7" x14ac:dyDescent="0.3">
      <c r="A204">
        <v>203</v>
      </c>
      <c r="B204">
        <v>61.4</v>
      </c>
      <c r="C204">
        <v>0</v>
      </c>
      <c r="D204">
        <v>0</v>
      </c>
      <c r="E204">
        <v>0</v>
      </c>
      <c r="F204">
        <v>1964</v>
      </c>
      <c r="G204">
        <f t="shared" si="3"/>
        <v>75.527458118825507</v>
      </c>
    </row>
    <row r="205" spans="1:7" x14ac:dyDescent="0.3">
      <c r="A205">
        <v>204</v>
      </c>
      <c r="B205">
        <v>61</v>
      </c>
      <c r="C205">
        <v>0</v>
      </c>
      <c r="D205">
        <v>0</v>
      </c>
      <c r="E205">
        <v>0</v>
      </c>
      <c r="F205">
        <v>3125</v>
      </c>
      <c r="G205">
        <f t="shared" si="3"/>
        <v>64.618757860992446</v>
      </c>
    </row>
    <row r="206" spans="1:7" x14ac:dyDescent="0.3">
      <c r="A206">
        <v>205</v>
      </c>
      <c r="B206">
        <v>60.6</v>
      </c>
      <c r="C206">
        <v>0</v>
      </c>
      <c r="D206">
        <v>1</v>
      </c>
      <c r="E206">
        <v>0</v>
      </c>
      <c r="F206">
        <v>1034</v>
      </c>
      <c r="G206">
        <f t="shared" si="3"/>
        <v>-541.94643975019881</v>
      </c>
    </row>
    <row r="207" spans="1:7" x14ac:dyDescent="0.3">
      <c r="A207">
        <v>206</v>
      </c>
      <c r="B207">
        <v>60.3</v>
      </c>
      <c r="C207">
        <v>0</v>
      </c>
      <c r="D207">
        <v>1</v>
      </c>
      <c r="E207">
        <v>0</v>
      </c>
      <c r="F207">
        <v>1012</v>
      </c>
      <c r="G207">
        <f t="shared" si="3"/>
        <v>-552.85514000803141</v>
      </c>
    </row>
    <row r="208" spans="1:7" x14ac:dyDescent="0.3">
      <c r="A208">
        <v>207</v>
      </c>
      <c r="B208">
        <v>59.9</v>
      </c>
      <c r="C208">
        <v>0</v>
      </c>
      <c r="D208">
        <v>1</v>
      </c>
      <c r="E208">
        <v>0</v>
      </c>
      <c r="F208">
        <v>1099</v>
      </c>
      <c r="G208">
        <f t="shared" si="3"/>
        <v>-563.76384026586447</v>
      </c>
    </row>
    <row r="209" spans="1:7" x14ac:dyDescent="0.3">
      <c r="A209">
        <v>208</v>
      </c>
      <c r="B209">
        <v>59.8</v>
      </c>
      <c r="C209">
        <v>0</v>
      </c>
      <c r="D209">
        <v>0</v>
      </c>
      <c r="E209">
        <v>1</v>
      </c>
      <c r="F209">
        <v>1089</v>
      </c>
      <c r="G209">
        <f t="shared" si="3"/>
        <v>20.983956829661111</v>
      </c>
    </row>
    <row r="210" spans="1:7" x14ac:dyDescent="0.3">
      <c r="A210">
        <v>209</v>
      </c>
      <c r="B210">
        <v>59.6</v>
      </c>
      <c r="C210">
        <v>0</v>
      </c>
      <c r="D210">
        <v>0</v>
      </c>
      <c r="E210">
        <v>1</v>
      </c>
      <c r="F210">
        <v>1068</v>
      </c>
      <c r="G210">
        <f t="shared" si="3"/>
        <v>10.075256571828049</v>
      </c>
    </row>
    <row r="211" spans="1:7" x14ac:dyDescent="0.3">
      <c r="A211">
        <v>210</v>
      </c>
      <c r="B211">
        <v>59.4</v>
      </c>
      <c r="C211">
        <v>0</v>
      </c>
      <c r="D211">
        <v>0</v>
      </c>
      <c r="E211">
        <v>1</v>
      </c>
      <c r="F211">
        <v>1025</v>
      </c>
      <c r="G211">
        <f t="shared" si="3"/>
        <v>-0.83344368600455709</v>
      </c>
    </row>
    <row r="212" spans="1:7" x14ac:dyDescent="0.3">
      <c r="A212">
        <v>211</v>
      </c>
      <c r="B212">
        <v>59.3</v>
      </c>
      <c r="C212">
        <v>0</v>
      </c>
      <c r="D212">
        <v>0</v>
      </c>
      <c r="E212">
        <v>0</v>
      </c>
      <c r="F212">
        <v>1062</v>
      </c>
      <c r="G212">
        <f t="shared" si="3"/>
        <v>-11.742143943837618</v>
      </c>
    </row>
    <row r="213" spans="1:7" x14ac:dyDescent="0.3">
      <c r="A213">
        <v>212</v>
      </c>
      <c r="B213">
        <v>59.1</v>
      </c>
      <c r="C213">
        <v>0</v>
      </c>
      <c r="D213">
        <v>0</v>
      </c>
      <c r="E213">
        <v>0</v>
      </c>
      <c r="F213">
        <v>1011</v>
      </c>
      <c r="G213">
        <f t="shared" si="3"/>
        <v>-22.650844201670225</v>
      </c>
    </row>
    <row r="214" spans="1:7" x14ac:dyDescent="0.3">
      <c r="A214">
        <v>213</v>
      </c>
      <c r="B214">
        <v>58.7</v>
      </c>
      <c r="C214">
        <v>0</v>
      </c>
      <c r="D214">
        <v>0</v>
      </c>
      <c r="E214">
        <v>0</v>
      </c>
      <c r="F214">
        <v>1067</v>
      </c>
      <c r="G214">
        <f t="shared" si="3"/>
        <v>-33.559544459503286</v>
      </c>
    </row>
    <row r="215" spans="1:7" x14ac:dyDescent="0.3">
      <c r="A215">
        <v>214</v>
      </c>
      <c r="B215">
        <v>58.5</v>
      </c>
      <c r="C215">
        <v>0</v>
      </c>
      <c r="D215">
        <v>0</v>
      </c>
      <c r="E215">
        <v>0</v>
      </c>
      <c r="F215">
        <v>1200</v>
      </c>
      <c r="G215">
        <f t="shared" si="3"/>
        <v>-44.468244717335892</v>
      </c>
    </row>
    <row r="216" spans="1:7" x14ac:dyDescent="0.3">
      <c r="A216">
        <v>215</v>
      </c>
      <c r="B216">
        <v>58.6</v>
      </c>
      <c r="C216">
        <v>0</v>
      </c>
      <c r="D216">
        <v>0</v>
      </c>
      <c r="E216">
        <v>0</v>
      </c>
      <c r="F216">
        <v>1850</v>
      </c>
      <c r="G216">
        <f t="shared" si="3"/>
        <v>-55.376944975168954</v>
      </c>
    </row>
    <row r="217" spans="1:7" x14ac:dyDescent="0.3">
      <c r="A217">
        <v>216</v>
      </c>
      <c r="B217">
        <v>58.3</v>
      </c>
      <c r="C217">
        <v>0</v>
      </c>
      <c r="D217">
        <v>0</v>
      </c>
      <c r="E217">
        <v>0</v>
      </c>
      <c r="F217">
        <v>3013</v>
      </c>
      <c r="G217">
        <f t="shared" si="3"/>
        <v>-66.28564523300156</v>
      </c>
    </row>
    <row r="218" spans="1:7" x14ac:dyDescent="0.3">
      <c r="A218">
        <v>217</v>
      </c>
      <c r="B218">
        <v>58.5</v>
      </c>
      <c r="C218">
        <v>0</v>
      </c>
      <c r="D218">
        <v>1</v>
      </c>
      <c r="E218">
        <v>0</v>
      </c>
      <c r="F218">
        <v>958</v>
      </c>
      <c r="G218">
        <f t="shared" si="3"/>
        <v>-672.85084284419281</v>
      </c>
    </row>
    <row r="219" spans="1:7" x14ac:dyDescent="0.3">
      <c r="A219">
        <v>218</v>
      </c>
      <c r="B219">
        <v>58.5</v>
      </c>
      <c r="C219">
        <v>0</v>
      </c>
      <c r="D219">
        <v>1</v>
      </c>
      <c r="E219">
        <v>0</v>
      </c>
      <c r="F219">
        <v>1005</v>
      </c>
      <c r="G219">
        <f t="shared" si="3"/>
        <v>-683.75954310202587</v>
      </c>
    </row>
    <row r="220" spans="1:7" x14ac:dyDescent="0.3">
      <c r="A220">
        <v>219</v>
      </c>
      <c r="B220">
        <v>58.5</v>
      </c>
      <c r="C220">
        <v>0</v>
      </c>
      <c r="D220">
        <v>1</v>
      </c>
      <c r="E220">
        <v>0</v>
      </c>
      <c r="F220">
        <v>1161</v>
      </c>
      <c r="G220">
        <f t="shared" si="3"/>
        <v>-694.66824335985848</v>
      </c>
    </row>
    <row r="221" spans="1:7" x14ac:dyDescent="0.3">
      <c r="A221">
        <v>220</v>
      </c>
      <c r="B221">
        <v>58.7</v>
      </c>
      <c r="C221">
        <v>0</v>
      </c>
      <c r="D221">
        <v>0</v>
      </c>
      <c r="E221">
        <v>1</v>
      </c>
      <c r="F221">
        <v>1065</v>
      </c>
      <c r="G221">
        <f t="shared" si="3"/>
        <v>-109.92044626433335</v>
      </c>
    </row>
    <row r="222" spans="1:7" x14ac:dyDescent="0.3">
      <c r="A222">
        <v>221</v>
      </c>
      <c r="B222">
        <v>58.6</v>
      </c>
      <c r="C222">
        <v>0</v>
      </c>
      <c r="D222">
        <v>0</v>
      </c>
      <c r="E222">
        <v>1</v>
      </c>
      <c r="F222">
        <v>1036</v>
      </c>
      <c r="G222">
        <f t="shared" si="3"/>
        <v>-120.82914652216596</v>
      </c>
    </row>
    <row r="223" spans="1:7" x14ac:dyDescent="0.3">
      <c r="A223">
        <v>222</v>
      </c>
      <c r="B223">
        <v>58.5</v>
      </c>
      <c r="C223">
        <v>0</v>
      </c>
      <c r="D223">
        <v>0</v>
      </c>
      <c r="E223">
        <v>1</v>
      </c>
      <c r="F223">
        <v>1030</v>
      </c>
      <c r="G223">
        <f t="shared" si="3"/>
        <v>-131.73784677999902</v>
      </c>
    </row>
    <row r="224" spans="1:7" x14ac:dyDescent="0.3">
      <c r="A224">
        <v>223</v>
      </c>
      <c r="B224">
        <v>58.5</v>
      </c>
      <c r="C224">
        <v>0</v>
      </c>
      <c r="D224">
        <v>0</v>
      </c>
      <c r="E224">
        <v>0</v>
      </c>
      <c r="F224">
        <v>1077</v>
      </c>
      <c r="G224">
        <f t="shared" si="3"/>
        <v>-142.64654703783162</v>
      </c>
    </row>
    <row r="225" spans="1:7" x14ac:dyDescent="0.3">
      <c r="A225">
        <v>224</v>
      </c>
      <c r="B225">
        <v>58.6</v>
      </c>
      <c r="C225">
        <v>0</v>
      </c>
      <c r="D225">
        <v>0</v>
      </c>
      <c r="E225">
        <v>0</v>
      </c>
      <c r="F225">
        <v>1046</v>
      </c>
      <c r="G225">
        <f t="shared" si="3"/>
        <v>-153.55524729566469</v>
      </c>
    </row>
    <row r="226" spans="1:7" x14ac:dyDescent="0.3">
      <c r="A226">
        <v>225</v>
      </c>
      <c r="B226">
        <v>58.5</v>
      </c>
      <c r="C226">
        <v>0</v>
      </c>
      <c r="D226">
        <v>0</v>
      </c>
      <c r="E226">
        <v>0</v>
      </c>
      <c r="F226">
        <v>1080</v>
      </c>
      <c r="G226">
        <f t="shared" si="3"/>
        <v>-164.46394755349729</v>
      </c>
    </row>
    <row r="227" spans="1:7" x14ac:dyDescent="0.3">
      <c r="A227">
        <v>226</v>
      </c>
      <c r="B227">
        <v>58.3</v>
      </c>
      <c r="C227">
        <v>0</v>
      </c>
      <c r="D227">
        <v>0</v>
      </c>
      <c r="E227">
        <v>0</v>
      </c>
      <c r="F227">
        <v>1262</v>
      </c>
      <c r="G227">
        <f t="shared" si="3"/>
        <v>-175.37264781133035</v>
      </c>
    </row>
    <row r="228" spans="1:7" x14ac:dyDescent="0.3">
      <c r="A228">
        <v>227</v>
      </c>
      <c r="B228">
        <v>58.2</v>
      </c>
      <c r="C228">
        <v>0</v>
      </c>
      <c r="D228">
        <v>0</v>
      </c>
      <c r="E228">
        <v>0</v>
      </c>
      <c r="F228">
        <v>2003</v>
      </c>
      <c r="G228">
        <f t="shared" si="3"/>
        <v>-186.28134806916296</v>
      </c>
    </row>
    <row r="229" spans="1:7" x14ac:dyDescent="0.3">
      <c r="A229">
        <v>228</v>
      </c>
      <c r="B229">
        <v>58.3</v>
      </c>
      <c r="C229">
        <v>0</v>
      </c>
      <c r="D229">
        <v>0</v>
      </c>
      <c r="E229">
        <v>0</v>
      </c>
      <c r="F229">
        <v>3082</v>
      </c>
      <c r="G229">
        <f t="shared" si="3"/>
        <v>-197.19004832699602</v>
      </c>
    </row>
    <row r="230" spans="1:7" x14ac:dyDescent="0.3">
      <c r="A230">
        <v>229</v>
      </c>
      <c r="B230">
        <v>58.3</v>
      </c>
      <c r="C230">
        <v>0</v>
      </c>
      <c r="D230">
        <v>1</v>
      </c>
      <c r="E230">
        <v>0</v>
      </c>
      <c r="F230">
        <v>972</v>
      </c>
      <c r="G230">
        <f t="shared" si="3"/>
        <v>-803.75524593818682</v>
      </c>
    </row>
    <row r="231" spans="1:7" x14ac:dyDescent="0.3">
      <c r="A231">
        <v>230</v>
      </c>
      <c r="B231">
        <v>58.4</v>
      </c>
      <c r="C231">
        <v>0</v>
      </c>
      <c r="D231">
        <v>1</v>
      </c>
      <c r="E231">
        <v>0</v>
      </c>
      <c r="F231">
        <v>1030</v>
      </c>
      <c r="G231">
        <f t="shared" si="3"/>
        <v>-814.66394619601988</v>
      </c>
    </row>
    <row r="232" spans="1:7" x14ac:dyDescent="0.3">
      <c r="A232">
        <v>231</v>
      </c>
      <c r="B232">
        <v>58.4</v>
      </c>
      <c r="C232">
        <v>0</v>
      </c>
      <c r="D232">
        <v>1</v>
      </c>
      <c r="E232">
        <v>0</v>
      </c>
      <c r="F232">
        <v>1201</v>
      </c>
      <c r="G232">
        <f t="shared" si="3"/>
        <v>-825.57264645385294</v>
      </c>
    </row>
    <row r="233" spans="1:7" x14ac:dyDescent="0.3">
      <c r="A233">
        <v>232</v>
      </c>
      <c r="B233">
        <v>58.4</v>
      </c>
      <c r="C233">
        <v>0</v>
      </c>
      <c r="D233">
        <v>0</v>
      </c>
      <c r="E233">
        <v>1</v>
      </c>
      <c r="F233">
        <v>1192</v>
      </c>
      <c r="G233">
        <f t="shared" si="3"/>
        <v>-240.82484935832736</v>
      </c>
    </row>
    <row r="234" spans="1:7" x14ac:dyDescent="0.3">
      <c r="A234">
        <v>233</v>
      </c>
      <c r="B234">
        <v>58.3</v>
      </c>
      <c r="C234">
        <v>0</v>
      </c>
      <c r="D234">
        <v>0</v>
      </c>
      <c r="E234">
        <v>1</v>
      </c>
      <c r="F234">
        <v>1073</v>
      </c>
      <c r="G234">
        <f t="shared" si="3"/>
        <v>-251.73354961616042</v>
      </c>
    </row>
    <row r="235" spans="1:7" x14ac:dyDescent="0.3">
      <c r="A235">
        <v>234</v>
      </c>
      <c r="B235">
        <v>58.2</v>
      </c>
      <c r="C235">
        <v>0</v>
      </c>
      <c r="D235">
        <v>0</v>
      </c>
      <c r="E235">
        <v>1</v>
      </c>
      <c r="F235">
        <v>1069</v>
      </c>
      <c r="G235">
        <f t="shared" si="3"/>
        <v>-262.64224987399302</v>
      </c>
    </row>
    <row r="236" spans="1:7" x14ac:dyDescent="0.3">
      <c r="A236">
        <v>235</v>
      </c>
      <c r="B236">
        <v>58.2</v>
      </c>
      <c r="C236">
        <v>0</v>
      </c>
      <c r="D236">
        <v>0</v>
      </c>
      <c r="E236">
        <v>0</v>
      </c>
      <c r="F236">
        <v>1089</v>
      </c>
      <c r="G236">
        <f t="shared" si="3"/>
        <v>-273.55095013182608</v>
      </c>
    </row>
    <row r="237" spans="1:7" x14ac:dyDescent="0.3">
      <c r="A237">
        <v>236</v>
      </c>
      <c r="B237">
        <v>58.3</v>
      </c>
      <c r="C237">
        <v>0</v>
      </c>
      <c r="D237">
        <v>0</v>
      </c>
      <c r="E237">
        <v>0</v>
      </c>
      <c r="F237">
        <v>1074</v>
      </c>
      <c r="G237">
        <f t="shared" si="3"/>
        <v>-284.45965038965869</v>
      </c>
    </row>
    <row r="238" spans="1:7" x14ac:dyDescent="0.3">
      <c r="A238">
        <v>237</v>
      </c>
      <c r="B238">
        <v>58.4</v>
      </c>
      <c r="C238">
        <v>0</v>
      </c>
      <c r="D238">
        <v>0</v>
      </c>
      <c r="E238">
        <v>0</v>
      </c>
      <c r="F238">
        <v>1151</v>
      </c>
      <c r="G238">
        <f t="shared" si="3"/>
        <v>-295.36835064749175</v>
      </c>
    </row>
    <row r="239" spans="1:7" x14ac:dyDescent="0.3">
      <c r="A239">
        <v>238</v>
      </c>
      <c r="B239">
        <v>58.4</v>
      </c>
      <c r="C239">
        <v>0</v>
      </c>
      <c r="D239">
        <v>0</v>
      </c>
      <c r="E239">
        <v>0</v>
      </c>
      <c r="F239">
        <v>1252</v>
      </c>
      <c r="G239">
        <f t="shared" si="3"/>
        <v>-306.27705090532436</v>
      </c>
    </row>
    <row r="240" spans="1:7" x14ac:dyDescent="0.3">
      <c r="A240">
        <v>239</v>
      </c>
      <c r="B240">
        <v>58.6</v>
      </c>
      <c r="C240">
        <v>0</v>
      </c>
      <c r="D240">
        <v>0</v>
      </c>
      <c r="E240">
        <v>0</v>
      </c>
      <c r="F240">
        <v>1964</v>
      </c>
      <c r="G240">
        <f t="shared" si="3"/>
        <v>-317.18575116315742</v>
      </c>
    </row>
    <row r="241" spans="1:7" x14ac:dyDescent="0.3">
      <c r="A241">
        <v>240</v>
      </c>
      <c r="B241">
        <v>58.6</v>
      </c>
      <c r="C241">
        <v>0</v>
      </c>
      <c r="D241">
        <v>0</v>
      </c>
      <c r="E241">
        <v>0</v>
      </c>
      <c r="F241">
        <v>3052</v>
      </c>
      <c r="G241">
        <f t="shared" si="3"/>
        <v>-328.09445142099003</v>
      </c>
    </row>
    <row r="242" spans="1:7" x14ac:dyDescent="0.3">
      <c r="A242">
        <v>241</v>
      </c>
      <c r="B242">
        <v>58.4</v>
      </c>
      <c r="C242">
        <v>0</v>
      </c>
      <c r="D242">
        <v>1</v>
      </c>
      <c r="E242">
        <v>0</v>
      </c>
      <c r="F242">
        <v>1072</v>
      </c>
      <c r="G242">
        <f t="shared" si="3"/>
        <v>-934.65964903218128</v>
      </c>
    </row>
    <row r="243" spans="1:7" x14ac:dyDescent="0.3">
      <c r="A243">
        <v>242</v>
      </c>
      <c r="B243">
        <v>58.5</v>
      </c>
      <c r="C243">
        <v>0</v>
      </c>
      <c r="D243">
        <v>1</v>
      </c>
      <c r="E243">
        <v>0</v>
      </c>
      <c r="F243">
        <v>1192</v>
      </c>
      <c r="G243">
        <f t="shared" si="3"/>
        <v>-945.56834929001388</v>
      </c>
    </row>
    <row r="244" spans="1:7" x14ac:dyDescent="0.3">
      <c r="A244">
        <v>243</v>
      </c>
      <c r="B244">
        <v>58.5</v>
      </c>
      <c r="C244">
        <v>0</v>
      </c>
      <c r="D244">
        <v>1</v>
      </c>
      <c r="E244">
        <v>0</v>
      </c>
      <c r="F244">
        <v>1270</v>
      </c>
      <c r="G244">
        <f t="shared" si="3"/>
        <v>-956.47704954784695</v>
      </c>
    </row>
    <row r="245" spans="1:7" x14ac:dyDescent="0.3">
      <c r="A245">
        <v>244</v>
      </c>
      <c r="B245">
        <v>58.4</v>
      </c>
      <c r="C245">
        <v>0</v>
      </c>
      <c r="D245">
        <v>0</v>
      </c>
      <c r="E245">
        <v>1</v>
      </c>
      <c r="F245">
        <v>1156</v>
      </c>
      <c r="G245">
        <f t="shared" si="3"/>
        <v>-371.72925245232182</v>
      </c>
    </row>
    <row r="246" spans="1:7" x14ac:dyDescent="0.3">
      <c r="A246">
        <v>245</v>
      </c>
      <c r="B246">
        <v>58.5</v>
      </c>
      <c r="C246">
        <v>0</v>
      </c>
      <c r="D246">
        <v>0</v>
      </c>
      <c r="E246">
        <v>1</v>
      </c>
      <c r="F246">
        <v>1186</v>
      </c>
      <c r="G246">
        <f t="shared" si="3"/>
        <v>-382.63795271015442</v>
      </c>
    </row>
    <row r="247" spans="1:7" x14ac:dyDescent="0.3">
      <c r="A247">
        <v>246</v>
      </c>
      <c r="B247">
        <v>58.6</v>
      </c>
      <c r="C247">
        <v>0</v>
      </c>
      <c r="D247">
        <v>0</v>
      </c>
      <c r="E247">
        <v>1</v>
      </c>
      <c r="F247">
        <v>1130</v>
      </c>
      <c r="G247">
        <f t="shared" si="3"/>
        <v>-393.54665296798748</v>
      </c>
    </row>
    <row r="248" spans="1:7" x14ac:dyDescent="0.3">
      <c r="A248">
        <v>247</v>
      </c>
      <c r="B248">
        <v>58.5</v>
      </c>
      <c r="C248">
        <v>0</v>
      </c>
      <c r="D248">
        <v>0</v>
      </c>
      <c r="E248">
        <v>0</v>
      </c>
      <c r="F248">
        <v>1123</v>
      </c>
      <c r="G248">
        <f t="shared" si="3"/>
        <v>-404.45535322582009</v>
      </c>
    </row>
    <row r="249" spans="1:7" x14ac:dyDescent="0.3">
      <c r="A249">
        <v>248</v>
      </c>
      <c r="B249">
        <v>58.4</v>
      </c>
      <c r="C249">
        <v>0</v>
      </c>
      <c r="D249">
        <v>0</v>
      </c>
      <c r="E249">
        <v>0</v>
      </c>
      <c r="F249">
        <v>1126</v>
      </c>
      <c r="G249">
        <f t="shared" si="3"/>
        <v>-415.36405348365315</v>
      </c>
    </row>
    <row r="250" spans="1:7" x14ac:dyDescent="0.3">
      <c r="A250">
        <v>249</v>
      </c>
      <c r="B250">
        <v>58.7</v>
      </c>
      <c r="C250">
        <v>0</v>
      </c>
      <c r="D250">
        <v>0</v>
      </c>
      <c r="E250">
        <v>0</v>
      </c>
      <c r="F250">
        <v>1158</v>
      </c>
      <c r="G250">
        <f t="shared" si="3"/>
        <v>-426.27275374148576</v>
      </c>
    </row>
    <row r="251" spans="1:7" x14ac:dyDescent="0.3">
      <c r="A251">
        <v>250</v>
      </c>
      <c r="B251">
        <v>58.8</v>
      </c>
      <c r="C251">
        <v>0</v>
      </c>
      <c r="D251">
        <v>0</v>
      </c>
      <c r="E251">
        <v>0</v>
      </c>
      <c r="F251">
        <v>1275</v>
      </c>
      <c r="G251">
        <f t="shared" si="3"/>
        <v>-437.18145399931882</v>
      </c>
    </row>
    <row r="252" spans="1:7" x14ac:dyDescent="0.3">
      <c r="A252">
        <v>251</v>
      </c>
      <c r="B252">
        <v>58.7</v>
      </c>
      <c r="C252">
        <v>0</v>
      </c>
      <c r="D252">
        <v>0</v>
      </c>
      <c r="E252">
        <v>0</v>
      </c>
      <c r="F252">
        <v>1945</v>
      </c>
      <c r="G252">
        <f t="shared" si="3"/>
        <v>-448.09015425715143</v>
      </c>
    </row>
    <row r="253" spans="1:7" x14ac:dyDescent="0.3">
      <c r="A253">
        <v>252</v>
      </c>
      <c r="B253">
        <v>58.7</v>
      </c>
      <c r="C253">
        <v>0</v>
      </c>
      <c r="D253">
        <v>0</v>
      </c>
      <c r="E253">
        <v>0</v>
      </c>
      <c r="F253">
        <v>2987</v>
      </c>
      <c r="G253">
        <f t="shared" si="3"/>
        <v>-458.99885451498449</v>
      </c>
    </row>
    <row r="254" spans="1:7" x14ac:dyDescent="0.3">
      <c r="A254">
        <v>253</v>
      </c>
      <c r="B254">
        <v>58.6</v>
      </c>
      <c r="C254">
        <v>0</v>
      </c>
      <c r="D254">
        <v>1</v>
      </c>
      <c r="E254">
        <v>0</v>
      </c>
      <c r="F254">
        <v>1032</v>
      </c>
      <c r="G254">
        <f t="shared" si="3"/>
        <v>-1065.5640521261753</v>
      </c>
    </row>
    <row r="255" spans="1:7" x14ac:dyDescent="0.3">
      <c r="A255">
        <v>254</v>
      </c>
      <c r="B255">
        <v>58.6</v>
      </c>
      <c r="C255">
        <v>0</v>
      </c>
      <c r="D255">
        <v>1</v>
      </c>
      <c r="E255">
        <v>0</v>
      </c>
      <c r="F255">
        <v>1083</v>
      </c>
      <c r="G255">
        <f t="shared" si="3"/>
        <v>-1076.4727523840083</v>
      </c>
    </row>
    <row r="256" spans="1:7" x14ac:dyDescent="0.3">
      <c r="A256">
        <v>255</v>
      </c>
      <c r="B256">
        <v>58.5</v>
      </c>
      <c r="C256">
        <v>0</v>
      </c>
      <c r="D256">
        <v>1</v>
      </c>
      <c r="E256">
        <v>0</v>
      </c>
      <c r="F256">
        <v>1254</v>
      </c>
      <c r="G256">
        <f t="shared" si="3"/>
        <v>-1087.381452641841</v>
      </c>
    </row>
    <row r="257" spans="1:7" x14ac:dyDescent="0.3">
      <c r="A257">
        <v>256</v>
      </c>
      <c r="B257">
        <v>58.6</v>
      </c>
      <c r="C257">
        <v>0</v>
      </c>
      <c r="D257">
        <v>0</v>
      </c>
      <c r="E257">
        <v>1</v>
      </c>
      <c r="F257">
        <v>1120</v>
      </c>
      <c r="G257">
        <f t="shared" si="3"/>
        <v>-502.63365554631582</v>
      </c>
    </row>
    <row r="258" spans="1:7" x14ac:dyDescent="0.3">
      <c r="A258">
        <v>257</v>
      </c>
      <c r="B258">
        <v>58.6</v>
      </c>
      <c r="C258">
        <v>0</v>
      </c>
      <c r="D258">
        <v>0</v>
      </c>
      <c r="E258">
        <v>1</v>
      </c>
      <c r="F258">
        <v>1129</v>
      </c>
      <c r="G258">
        <f t="shared" si="3"/>
        <v>-513.54235580414888</v>
      </c>
    </row>
    <row r="259" spans="1:7" x14ac:dyDescent="0.3">
      <c r="A259">
        <v>258</v>
      </c>
      <c r="B259">
        <v>58.6</v>
      </c>
      <c r="C259">
        <v>0</v>
      </c>
      <c r="D259">
        <v>0</v>
      </c>
      <c r="E259">
        <v>1</v>
      </c>
      <c r="F259">
        <v>1068</v>
      </c>
      <c r="G259">
        <f t="shared" ref="G259:G311" si="4">$I$2+A259*$J$2+B259*$K$2+C259*$L$2+D259*$M$2+E259*$N$2</f>
        <v>-524.45105606198149</v>
      </c>
    </row>
    <row r="260" spans="1:7" x14ac:dyDescent="0.3">
      <c r="A260">
        <v>259</v>
      </c>
      <c r="B260">
        <v>58.7</v>
      </c>
      <c r="C260">
        <v>0</v>
      </c>
      <c r="D260">
        <v>0</v>
      </c>
      <c r="E260">
        <v>0</v>
      </c>
      <c r="F260">
        <v>1118</v>
      </c>
      <c r="G260">
        <f t="shared" si="4"/>
        <v>-535.35975631981455</v>
      </c>
    </row>
    <row r="261" spans="1:7" x14ac:dyDescent="0.3">
      <c r="A261">
        <v>260</v>
      </c>
      <c r="B261">
        <v>58.7</v>
      </c>
      <c r="C261">
        <v>0</v>
      </c>
      <c r="D261">
        <v>0</v>
      </c>
      <c r="E261">
        <v>0</v>
      </c>
      <c r="F261">
        <v>1155</v>
      </c>
      <c r="G261">
        <f t="shared" si="4"/>
        <v>-546.26845657764716</v>
      </c>
    </row>
    <row r="262" spans="1:7" x14ac:dyDescent="0.3">
      <c r="A262">
        <v>261</v>
      </c>
      <c r="B262">
        <v>58.7</v>
      </c>
      <c r="C262">
        <v>0</v>
      </c>
      <c r="D262">
        <v>0</v>
      </c>
      <c r="E262">
        <v>0</v>
      </c>
      <c r="F262">
        <v>1171</v>
      </c>
      <c r="G262">
        <f t="shared" si="4"/>
        <v>-557.17715683548022</v>
      </c>
    </row>
    <row r="263" spans="1:7" x14ac:dyDescent="0.3">
      <c r="A263">
        <v>262</v>
      </c>
      <c r="B263">
        <v>58.3</v>
      </c>
      <c r="C263">
        <v>0</v>
      </c>
      <c r="D263">
        <v>0</v>
      </c>
      <c r="E263">
        <v>0</v>
      </c>
      <c r="F263">
        <v>1348</v>
      </c>
      <c r="G263">
        <f t="shared" si="4"/>
        <v>-568.08585709331282</v>
      </c>
    </row>
    <row r="264" spans="1:7" x14ac:dyDescent="0.3">
      <c r="A264">
        <v>263</v>
      </c>
      <c r="B264">
        <v>58.6</v>
      </c>
      <c r="C264">
        <v>0</v>
      </c>
      <c r="D264">
        <v>0</v>
      </c>
      <c r="E264">
        <v>0</v>
      </c>
      <c r="F264">
        <v>2151</v>
      </c>
      <c r="G264">
        <f t="shared" si="4"/>
        <v>-578.99455735114589</v>
      </c>
    </row>
    <row r="265" spans="1:7" x14ac:dyDescent="0.3">
      <c r="A265">
        <v>264</v>
      </c>
      <c r="B265">
        <v>58.7</v>
      </c>
      <c r="C265">
        <v>0</v>
      </c>
      <c r="D265">
        <v>0</v>
      </c>
      <c r="E265">
        <v>0</v>
      </c>
      <c r="F265">
        <v>3290</v>
      </c>
      <c r="G265">
        <f t="shared" si="4"/>
        <v>-589.90325760897849</v>
      </c>
    </row>
    <row r="266" spans="1:7" x14ac:dyDescent="0.3">
      <c r="A266">
        <v>265</v>
      </c>
      <c r="B266">
        <v>58.8</v>
      </c>
      <c r="C266">
        <v>0</v>
      </c>
      <c r="D266">
        <v>1</v>
      </c>
      <c r="E266">
        <v>0</v>
      </c>
      <c r="F266">
        <v>1018</v>
      </c>
      <c r="G266">
        <f t="shared" si="4"/>
        <v>-1196.4684552201697</v>
      </c>
    </row>
    <row r="267" spans="1:7" x14ac:dyDescent="0.3">
      <c r="A267">
        <v>266</v>
      </c>
      <c r="B267">
        <v>58.7</v>
      </c>
      <c r="C267">
        <v>0</v>
      </c>
      <c r="D267">
        <v>1</v>
      </c>
      <c r="E267">
        <v>0</v>
      </c>
      <c r="F267">
        <v>1089</v>
      </c>
      <c r="G267">
        <f t="shared" si="4"/>
        <v>-1207.3771554780024</v>
      </c>
    </row>
    <row r="268" spans="1:7" x14ac:dyDescent="0.3">
      <c r="A268">
        <v>267</v>
      </c>
      <c r="B268">
        <v>58.9</v>
      </c>
      <c r="C268">
        <v>0</v>
      </c>
      <c r="D268">
        <v>1</v>
      </c>
      <c r="E268">
        <v>0</v>
      </c>
      <c r="F268">
        <v>1220</v>
      </c>
      <c r="G268">
        <f t="shared" si="4"/>
        <v>-1218.2858557358354</v>
      </c>
    </row>
    <row r="269" spans="1:7" x14ac:dyDescent="0.3">
      <c r="A269">
        <v>268</v>
      </c>
      <c r="B269">
        <v>58.9</v>
      </c>
      <c r="C269">
        <v>0</v>
      </c>
      <c r="D269">
        <v>0</v>
      </c>
      <c r="E269">
        <v>1</v>
      </c>
      <c r="F269">
        <v>1203</v>
      </c>
      <c r="G269">
        <f t="shared" si="4"/>
        <v>-633.53805864030983</v>
      </c>
    </row>
    <row r="270" spans="1:7" x14ac:dyDescent="0.3">
      <c r="A270">
        <v>269</v>
      </c>
      <c r="B270">
        <v>58.9</v>
      </c>
      <c r="C270">
        <v>0</v>
      </c>
      <c r="D270">
        <v>0</v>
      </c>
      <c r="E270">
        <v>1</v>
      </c>
      <c r="F270">
        <v>1177</v>
      </c>
      <c r="G270">
        <f t="shared" si="4"/>
        <v>-644.44675889814289</v>
      </c>
    </row>
    <row r="271" spans="1:7" x14ac:dyDescent="0.3">
      <c r="A271">
        <v>270</v>
      </c>
      <c r="B271">
        <v>59</v>
      </c>
      <c r="C271">
        <v>0</v>
      </c>
      <c r="D271">
        <v>0</v>
      </c>
      <c r="E271">
        <v>1</v>
      </c>
      <c r="F271">
        <v>1087</v>
      </c>
      <c r="G271">
        <f t="shared" si="4"/>
        <v>-655.35545915597595</v>
      </c>
    </row>
    <row r="272" spans="1:7" x14ac:dyDescent="0.3">
      <c r="A272">
        <v>271</v>
      </c>
      <c r="B272">
        <v>59</v>
      </c>
      <c r="C272">
        <v>0</v>
      </c>
      <c r="D272">
        <v>0</v>
      </c>
      <c r="E272">
        <v>0</v>
      </c>
      <c r="F272">
        <v>1186</v>
      </c>
      <c r="G272">
        <f t="shared" si="4"/>
        <v>-666.26415941380856</v>
      </c>
    </row>
    <row r="273" spans="1:7" x14ac:dyDescent="0.3">
      <c r="A273">
        <v>272</v>
      </c>
      <c r="B273">
        <v>59</v>
      </c>
      <c r="C273">
        <v>0</v>
      </c>
      <c r="D273">
        <v>0</v>
      </c>
      <c r="E273">
        <v>0</v>
      </c>
      <c r="F273">
        <v>1189</v>
      </c>
      <c r="G273">
        <f t="shared" si="4"/>
        <v>-677.17285967164162</v>
      </c>
    </row>
    <row r="274" spans="1:7" x14ac:dyDescent="0.3">
      <c r="A274">
        <v>273</v>
      </c>
      <c r="B274">
        <v>59.1</v>
      </c>
      <c r="C274">
        <v>0</v>
      </c>
      <c r="D274">
        <v>0</v>
      </c>
      <c r="E274">
        <v>0</v>
      </c>
      <c r="F274">
        <v>1254</v>
      </c>
      <c r="G274">
        <f t="shared" si="4"/>
        <v>-688.08155992947422</v>
      </c>
    </row>
    <row r="275" spans="1:7" x14ac:dyDescent="0.3">
      <c r="A275">
        <v>274</v>
      </c>
      <c r="B275">
        <v>59.3</v>
      </c>
      <c r="C275">
        <v>0</v>
      </c>
      <c r="D275">
        <v>0</v>
      </c>
      <c r="E275">
        <v>0</v>
      </c>
      <c r="F275">
        <v>1358</v>
      </c>
      <c r="G275">
        <f t="shared" si="4"/>
        <v>-698.99026018730729</v>
      </c>
    </row>
    <row r="276" spans="1:7" x14ac:dyDescent="0.3">
      <c r="A276">
        <v>275</v>
      </c>
      <c r="B276">
        <v>59.2</v>
      </c>
      <c r="C276">
        <v>0</v>
      </c>
      <c r="D276">
        <v>0</v>
      </c>
      <c r="E276">
        <v>0</v>
      </c>
      <c r="F276">
        <v>2142</v>
      </c>
      <c r="G276">
        <f t="shared" si="4"/>
        <v>-709.89896044513989</v>
      </c>
    </row>
    <row r="277" spans="1:7" x14ac:dyDescent="0.3">
      <c r="A277">
        <v>276</v>
      </c>
      <c r="B277">
        <v>59.3</v>
      </c>
      <c r="C277">
        <v>0</v>
      </c>
      <c r="D277">
        <v>0</v>
      </c>
      <c r="E277">
        <v>0</v>
      </c>
      <c r="F277">
        <v>3510</v>
      </c>
      <c r="G277">
        <f t="shared" si="4"/>
        <v>-720.80766070297295</v>
      </c>
    </row>
    <row r="278" spans="1:7" x14ac:dyDescent="0.3">
      <c r="A278">
        <v>277</v>
      </c>
      <c r="B278">
        <v>59.3</v>
      </c>
      <c r="C278">
        <v>0</v>
      </c>
      <c r="D278">
        <v>1</v>
      </c>
      <c r="E278">
        <v>0</v>
      </c>
      <c r="F278">
        <v>1128</v>
      </c>
      <c r="G278">
        <f t="shared" si="4"/>
        <v>-1327.3728583141638</v>
      </c>
    </row>
    <row r="279" spans="1:7" x14ac:dyDescent="0.3">
      <c r="A279">
        <v>278</v>
      </c>
      <c r="B279">
        <v>59.2</v>
      </c>
      <c r="C279">
        <v>0</v>
      </c>
      <c r="D279">
        <v>1</v>
      </c>
      <c r="E279">
        <v>0</v>
      </c>
      <c r="F279">
        <v>1157</v>
      </c>
      <c r="G279">
        <f t="shared" si="4"/>
        <v>-1338.2815585719968</v>
      </c>
    </row>
    <row r="280" spans="1:7" x14ac:dyDescent="0.3">
      <c r="A280">
        <v>279</v>
      </c>
      <c r="B280">
        <v>59.2</v>
      </c>
      <c r="C280">
        <v>0</v>
      </c>
      <c r="D280">
        <v>1</v>
      </c>
      <c r="E280">
        <v>0</v>
      </c>
      <c r="F280">
        <v>1320</v>
      </c>
      <c r="G280">
        <f t="shared" si="4"/>
        <v>-1349.1902588298294</v>
      </c>
    </row>
    <row r="281" spans="1:7" x14ac:dyDescent="0.3">
      <c r="A281">
        <v>280</v>
      </c>
      <c r="B281">
        <v>59.3</v>
      </c>
      <c r="C281">
        <v>0</v>
      </c>
      <c r="D281">
        <v>0</v>
      </c>
      <c r="E281">
        <v>1</v>
      </c>
      <c r="F281">
        <v>1222</v>
      </c>
      <c r="G281">
        <f t="shared" si="4"/>
        <v>-764.44246173430429</v>
      </c>
    </row>
    <row r="282" spans="1:7" x14ac:dyDescent="0.3">
      <c r="A282">
        <v>281</v>
      </c>
      <c r="B282">
        <v>59.4</v>
      </c>
      <c r="C282">
        <v>0</v>
      </c>
      <c r="D282">
        <v>0</v>
      </c>
      <c r="E282">
        <v>1</v>
      </c>
      <c r="F282">
        <v>1232</v>
      </c>
      <c r="G282">
        <f t="shared" si="4"/>
        <v>-775.35116199213689</v>
      </c>
    </row>
    <row r="283" spans="1:7" x14ac:dyDescent="0.3">
      <c r="A283">
        <v>282</v>
      </c>
      <c r="B283">
        <v>59.4</v>
      </c>
      <c r="C283">
        <v>0</v>
      </c>
      <c r="D283">
        <v>0</v>
      </c>
      <c r="E283">
        <v>1</v>
      </c>
      <c r="F283">
        <v>1154</v>
      </c>
      <c r="G283">
        <f t="shared" si="4"/>
        <v>-786.25986224996996</v>
      </c>
    </row>
    <row r="284" spans="1:7" x14ac:dyDescent="0.3">
      <c r="A284">
        <v>283</v>
      </c>
      <c r="B284">
        <v>59.3</v>
      </c>
      <c r="C284">
        <v>0</v>
      </c>
      <c r="D284">
        <v>0</v>
      </c>
      <c r="E284">
        <v>0</v>
      </c>
      <c r="F284">
        <v>1188</v>
      </c>
      <c r="G284">
        <f t="shared" si="4"/>
        <v>-797.16856250780302</v>
      </c>
    </row>
    <row r="285" spans="1:7" x14ac:dyDescent="0.3">
      <c r="A285">
        <v>284</v>
      </c>
      <c r="B285">
        <v>59.4</v>
      </c>
      <c r="C285">
        <v>0</v>
      </c>
      <c r="D285">
        <v>0</v>
      </c>
      <c r="E285">
        <v>0</v>
      </c>
      <c r="F285">
        <v>1196</v>
      </c>
      <c r="G285">
        <f t="shared" si="4"/>
        <v>-808.07726276563562</v>
      </c>
    </row>
    <row r="286" spans="1:7" x14ac:dyDescent="0.3">
      <c r="A286">
        <v>285</v>
      </c>
      <c r="B286">
        <v>59.2</v>
      </c>
      <c r="C286">
        <v>0</v>
      </c>
      <c r="D286">
        <v>0</v>
      </c>
      <c r="E286">
        <v>0</v>
      </c>
      <c r="F286">
        <v>1280</v>
      </c>
      <c r="G286">
        <f t="shared" si="4"/>
        <v>-818.98596302346868</v>
      </c>
    </row>
    <row r="287" spans="1:7" x14ac:dyDescent="0.3">
      <c r="A287">
        <v>286</v>
      </c>
      <c r="B287">
        <v>59.3</v>
      </c>
      <c r="C287">
        <v>0</v>
      </c>
      <c r="D287">
        <v>0</v>
      </c>
      <c r="E287">
        <v>0</v>
      </c>
      <c r="F287">
        <v>1430</v>
      </c>
      <c r="G287">
        <f t="shared" si="4"/>
        <v>-829.89466328130129</v>
      </c>
    </row>
    <row r="288" spans="1:7" x14ac:dyDescent="0.3">
      <c r="A288">
        <v>287</v>
      </c>
      <c r="B288">
        <v>59.4</v>
      </c>
      <c r="C288">
        <v>0</v>
      </c>
      <c r="D288">
        <v>0</v>
      </c>
      <c r="E288">
        <v>0</v>
      </c>
      <c r="F288">
        <v>2166</v>
      </c>
      <c r="G288">
        <f t="shared" si="4"/>
        <v>-840.80336353913435</v>
      </c>
    </row>
    <row r="289" spans="1:7" x14ac:dyDescent="0.3">
      <c r="A289">
        <v>288</v>
      </c>
      <c r="B289">
        <v>59.6</v>
      </c>
      <c r="C289">
        <v>0</v>
      </c>
      <c r="D289">
        <v>0</v>
      </c>
      <c r="E289">
        <v>0</v>
      </c>
      <c r="F289">
        <v>3572</v>
      </c>
      <c r="G289">
        <f t="shared" si="4"/>
        <v>-851.71206379696696</v>
      </c>
    </row>
    <row r="290" spans="1:7" x14ac:dyDescent="0.3">
      <c r="A290">
        <v>289</v>
      </c>
      <c r="B290">
        <v>59.7</v>
      </c>
      <c r="C290">
        <v>0</v>
      </c>
      <c r="D290">
        <v>1</v>
      </c>
      <c r="E290">
        <v>0</v>
      </c>
      <c r="F290">
        <v>1195</v>
      </c>
      <c r="G290">
        <f t="shared" si="4"/>
        <v>-1458.2772614081582</v>
      </c>
    </row>
    <row r="291" spans="1:7" x14ac:dyDescent="0.3">
      <c r="A291">
        <v>290</v>
      </c>
      <c r="B291">
        <v>59.8</v>
      </c>
      <c r="C291">
        <v>0</v>
      </c>
      <c r="D291">
        <v>1</v>
      </c>
      <c r="E291">
        <v>0</v>
      </c>
      <c r="F291">
        <v>1225</v>
      </c>
      <c r="G291">
        <f t="shared" si="4"/>
        <v>-1469.1859616659908</v>
      </c>
    </row>
    <row r="292" spans="1:7" x14ac:dyDescent="0.3">
      <c r="A292">
        <v>291</v>
      </c>
      <c r="B292">
        <v>59.8</v>
      </c>
      <c r="C292">
        <v>0</v>
      </c>
      <c r="D292">
        <v>1</v>
      </c>
      <c r="E292">
        <v>0</v>
      </c>
      <c r="F292">
        <v>1379</v>
      </c>
      <c r="G292">
        <f t="shared" si="4"/>
        <v>-1480.0946619238239</v>
      </c>
    </row>
    <row r="293" spans="1:7" x14ac:dyDescent="0.3">
      <c r="A293">
        <v>292</v>
      </c>
      <c r="B293">
        <v>59.7</v>
      </c>
      <c r="C293">
        <v>0</v>
      </c>
      <c r="D293">
        <v>0</v>
      </c>
      <c r="E293">
        <v>1</v>
      </c>
      <c r="F293">
        <v>1255</v>
      </c>
      <c r="G293">
        <f t="shared" si="4"/>
        <v>-895.34686482829829</v>
      </c>
    </row>
    <row r="294" spans="1:7" x14ac:dyDescent="0.3">
      <c r="A294">
        <v>293</v>
      </c>
      <c r="B294">
        <v>59.7</v>
      </c>
      <c r="C294">
        <v>0</v>
      </c>
      <c r="D294">
        <v>0</v>
      </c>
      <c r="E294">
        <v>1</v>
      </c>
      <c r="F294">
        <v>1248</v>
      </c>
      <c r="G294">
        <f t="shared" si="4"/>
        <v>-906.25556508613136</v>
      </c>
    </row>
    <row r="295" spans="1:7" x14ac:dyDescent="0.3">
      <c r="A295">
        <v>294</v>
      </c>
      <c r="B295">
        <v>59.7</v>
      </c>
      <c r="C295">
        <v>0</v>
      </c>
      <c r="D295">
        <v>0</v>
      </c>
      <c r="E295">
        <v>1</v>
      </c>
      <c r="F295">
        <v>1192</v>
      </c>
      <c r="G295">
        <f t="shared" si="4"/>
        <v>-917.16426534396396</v>
      </c>
    </row>
    <row r="296" spans="1:7" x14ac:dyDescent="0.3">
      <c r="A296">
        <v>295</v>
      </c>
      <c r="B296">
        <v>59.8</v>
      </c>
      <c r="C296">
        <v>0</v>
      </c>
      <c r="D296">
        <v>0</v>
      </c>
      <c r="E296">
        <v>0</v>
      </c>
      <c r="F296">
        <v>1242</v>
      </c>
      <c r="G296">
        <f t="shared" si="4"/>
        <v>-928.07296560179702</v>
      </c>
    </row>
    <row r="297" spans="1:7" x14ac:dyDescent="0.3">
      <c r="A297">
        <v>296</v>
      </c>
      <c r="B297">
        <v>59.8</v>
      </c>
      <c r="C297">
        <v>0</v>
      </c>
      <c r="D297">
        <v>0</v>
      </c>
      <c r="E297">
        <v>0</v>
      </c>
      <c r="F297">
        <v>1242</v>
      </c>
      <c r="G297">
        <f t="shared" si="4"/>
        <v>-938.98166585963008</v>
      </c>
    </row>
    <row r="298" spans="1:7" x14ac:dyDescent="0.3">
      <c r="A298">
        <v>297</v>
      </c>
      <c r="B298">
        <v>59.7</v>
      </c>
      <c r="C298">
        <v>0</v>
      </c>
      <c r="D298">
        <v>0</v>
      </c>
      <c r="E298">
        <v>0</v>
      </c>
      <c r="F298">
        <v>1318</v>
      </c>
      <c r="G298">
        <f t="shared" si="4"/>
        <v>-949.89036611746269</v>
      </c>
    </row>
    <row r="299" spans="1:7" x14ac:dyDescent="0.3">
      <c r="A299">
        <v>298</v>
      </c>
      <c r="B299">
        <v>59.7</v>
      </c>
      <c r="C299">
        <v>0</v>
      </c>
      <c r="D299">
        <v>0</v>
      </c>
      <c r="E299">
        <v>0</v>
      </c>
      <c r="F299">
        <v>1430</v>
      </c>
      <c r="G299">
        <f t="shared" si="4"/>
        <v>-960.79906637529575</v>
      </c>
    </row>
    <row r="300" spans="1:7" x14ac:dyDescent="0.3">
      <c r="A300">
        <v>299</v>
      </c>
      <c r="B300">
        <v>59.7</v>
      </c>
      <c r="C300">
        <v>0</v>
      </c>
      <c r="D300">
        <v>0</v>
      </c>
      <c r="E300">
        <v>0</v>
      </c>
      <c r="F300">
        <v>2236</v>
      </c>
      <c r="G300">
        <f t="shared" si="4"/>
        <v>-971.70776663312836</v>
      </c>
    </row>
    <row r="301" spans="1:7" x14ac:dyDescent="0.3">
      <c r="A301">
        <v>300</v>
      </c>
      <c r="B301">
        <v>59.7</v>
      </c>
      <c r="C301">
        <v>0</v>
      </c>
      <c r="D301">
        <v>0</v>
      </c>
      <c r="E301">
        <v>1</v>
      </c>
      <c r="G301">
        <f t="shared" si="4"/>
        <v>-982.61646689096142</v>
      </c>
    </row>
    <row r="302" spans="1:7" x14ac:dyDescent="0.3">
      <c r="A302">
        <v>301</v>
      </c>
      <c r="B302">
        <v>56.8</v>
      </c>
      <c r="C302">
        <v>1</v>
      </c>
      <c r="D302">
        <v>0</v>
      </c>
      <c r="E302">
        <v>1</v>
      </c>
      <c r="G302">
        <f t="shared" si="4"/>
        <v>-1629.0980354306728</v>
      </c>
    </row>
    <row r="303" spans="1:7" x14ac:dyDescent="0.3">
      <c r="A303">
        <v>302</v>
      </c>
      <c r="B303">
        <v>54.8</v>
      </c>
      <c r="C303">
        <v>0</v>
      </c>
      <c r="D303">
        <v>0</v>
      </c>
      <c r="E303">
        <v>1</v>
      </c>
      <c r="G303">
        <f t="shared" si="4"/>
        <v>-1004.4338674066271</v>
      </c>
    </row>
    <row r="304" spans="1:7" x14ac:dyDescent="0.3">
      <c r="A304">
        <v>303</v>
      </c>
      <c r="B304">
        <v>62.8</v>
      </c>
      <c r="C304">
        <v>0</v>
      </c>
      <c r="D304">
        <v>0</v>
      </c>
      <c r="E304">
        <v>1</v>
      </c>
      <c r="G304">
        <f t="shared" si="4"/>
        <v>-1015.3425676644597</v>
      </c>
    </row>
    <row r="305" spans="1:7" x14ac:dyDescent="0.3">
      <c r="A305">
        <v>304</v>
      </c>
      <c r="B305">
        <v>55.2</v>
      </c>
      <c r="C305">
        <v>1</v>
      </c>
      <c r="D305">
        <v>1</v>
      </c>
      <c r="E305">
        <v>0</v>
      </c>
      <c r="G305">
        <f t="shared" si="4"/>
        <v>-2257.4806335575295</v>
      </c>
    </row>
    <row r="306" spans="1:7" x14ac:dyDescent="0.3">
      <c r="A306">
        <v>305</v>
      </c>
      <c r="B306">
        <v>51.8</v>
      </c>
      <c r="C306">
        <v>1</v>
      </c>
      <c r="D306">
        <v>1</v>
      </c>
      <c r="E306">
        <v>0</v>
      </c>
      <c r="G306">
        <f t="shared" si="4"/>
        <v>-2268.3893338153621</v>
      </c>
    </row>
    <row r="307" spans="1:7" x14ac:dyDescent="0.3">
      <c r="A307">
        <v>306</v>
      </c>
      <c r="B307">
        <v>65.87</v>
      </c>
      <c r="C307">
        <v>0</v>
      </c>
      <c r="D307">
        <v>1</v>
      </c>
      <c r="E307">
        <v>0</v>
      </c>
      <c r="G307">
        <f t="shared" si="4"/>
        <v>-1643.7251657913166</v>
      </c>
    </row>
    <row r="308" spans="1:7" x14ac:dyDescent="0.3">
      <c r="A308">
        <v>307</v>
      </c>
      <c r="B308">
        <v>63.89</v>
      </c>
      <c r="C308">
        <v>0</v>
      </c>
      <c r="D308">
        <v>1</v>
      </c>
      <c r="E308">
        <v>0</v>
      </c>
      <c r="G308">
        <f t="shared" si="4"/>
        <v>-1654.6338660491492</v>
      </c>
    </row>
    <row r="309" spans="1:7" x14ac:dyDescent="0.3">
      <c r="A309">
        <v>308</v>
      </c>
      <c r="B309">
        <v>58.54</v>
      </c>
      <c r="C309">
        <v>0</v>
      </c>
      <c r="D309">
        <v>0</v>
      </c>
      <c r="E309">
        <v>1</v>
      </c>
      <c r="G309">
        <f t="shared" si="4"/>
        <v>-1069.8860689536241</v>
      </c>
    </row>
    <row r="310" spans="1:7" x14ac:dyDescent="0.3">
      <c r="A310">
        <v>309</v>
      </c>
      <c r="B310">
        <v>59.95</v>
      </c>
      <c r="C310">
        <v>1</v>
      </c>
      <c r="D310">
        <v>0</v>
      </c>
      <c r="E310">
        <v>1</v>
      </c>
      <c r="G310">
        <f t="shared" si="4"/>
        <v>-1716.3676374933359</v>
      </c>
    </row>
    <row r="311" spans="1:7" x14ac:dyDescent="0.3">
      <c r="A311">
        <v>310</v>
      </c>
      <c r="B311">
        <v>68.98</v>
      </c>
      <c r="C311">
        <v>1</v>
      </c>
      <c r="D311">
        <v>0</v>
      </c>
      <c r="E311">
        <v>1</v>
      </c>
      <c r="G311">
        <f t="shared" si="4"/>
        <v>-1727.2763377511685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 1</vt:lpstr>
      <vt:lpstr>Activity 2</vt:lpstr>
      <vt:lpstr>Activity 3</vt:lpstr>
      <vt:lpstr>Activity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Rudd</dc:creator>
  <cp:lastModifiedBy>Jessie Rudd</cp:lastModifiedBy>
  <dcterms:created xsi:type="dcterms:W3CDTF">2023-07-24T10:55:44Z</dcterms:created>
  <dcterms:modified xsi:type="dcterms:W3CDTF">2026-02-09T11:24:56Z</dcterms:modified>
</cp:coreProperties>
</file>