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2/"/>
    </mc:Choice>
  </mc:AlternateContent>
  <xr:revisionPtr revIDLastSave="330" documentId="8_{F832619F-9A01-438D-8563-A3D62B69D3FE}" xr6:coauthVersionLast="47" xr6:coauthVersionMax="47" xr10:uidLastSave="{258367C2-E6B6-4AA4-A9AD-DCC54B6736D2}"/>
  <bookViews>
    <workbookView xWindow="-108" yWindow="-108" windowWidth="23256" windowHeight="12456" activeTab="1" xr2:uid="{52F5FDE0-F91E-4D3D-B5B4-E7AEEC04544A}"/>
  </bookViews>
  <sheets>
    <sheet name="Activity 1" sheetId="9" r:id="rId1"/>
    <sheet name="Activity 2" sheetId="10" r:id="rId2"/>
    <sheet name="Activity 3" sheetId="11" r:id="rId3"/>
    <sheet name="Activity 4" sheetId="12" r:id="rId4"/>
  </sheets>
  <definedNames>
    <definedName name="MyFirstNamedFunction">_xlfn.LAMBDA(_xlpm.x,(_xlpm.x/2+1)^3)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B8" i="10"/>
  <c r="B9" i="11"/>
  <c r="B10" i="11"/>
  <c r="H8" i="9"/>
  <c r="J8" i="9" s="1"/>
  <c r="B4" i="12" a="1"/>
  <c r="B4" i="12" s="1"/>
  <c r="B5" i="12" a="1"/>
  <c r="B5" i="12" s="1"/>
  <c r="B6" i="12" a="1"/>
  <c r="B6" i="12" s="1"/>
  <c r="B7" i="12" a="1"/>
  <c r="B7" i="12" s="1"/>
  <c r="B8" i="12" a="1"/>
  <c r="B8" i="12" s="1"/>
  <c r="B9" i="12" a="1"/>
  <c r="B9" i="12" s="1"/>
  <c r="B10" i="12" a="1"/>
  <c r="B10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3" i="12" a="1"/>
  <c r="B3" i="12" s="1"/>
  <c r="H4" i="9"/>
  <c r="H5" i="9"/>
  <c r="B6" i="9" l="1"/>
  <c r="E6" i="9"/>
  <c r="E5" i="9"/>
  <c r="B8" i="9" l="1"/>
  <c r="E8" i="9"/>
  <c r="E4" i="9" l="1"/>
  <c r="B4" i="9" s="1"/>
  <c r="B5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8D33C-5DC7-4F99-9842-0480E9F81144}" keepAlive="1" name="Query - used_cars" description="Connection to the 'used_cars' query in the workbook." type="5" refreshedVersion="0" background="1">
    <dbPr connection="Provider=Microsoft.Mashup.OleDb.1;Data Source=$Workbook$;Location=used_cars;Extended Properties=&quot;&quot;" command="SELECT * FROM [used_ca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<sst xmlns="http://schemas.openxmlformats.org/spreadsheetml/2006/main" count="41" uniqueCount="27">
  <si>
    <t>NPER Function</t>
  </si>
  <si>
    <t>RATE Function</t>
  </si>
  <si>
    <t>PMT Function</t>
  </si>
  <si>
    <t>Annual interest rate</t>
  </si>
  <si>
    <t xml:space="preserve">Monthly interest </t>
  </si>
  <si>
    <t>Number of Monthly repayments</t>
  </si>
  <si>
    <t>Initial value of loan</t>
  </si>
  <si>
    <t>Repayment amount</t>
  </si>
  <si>
    <t>FV and PV Function</t>
  </si>
  <si>
    <t>Initial Cost</t>
  </si>
  <si>
    <t>Return on Investment</t>
  </si>
  <si>
    <t>Repayment period</t>
  </si>
  <si>
    <t>FV</t>
  </si>
  <si>
    <t>PV</t>
  </si>
  <si>
    <t>IRR and NPV Function</t>
  </si>
  <si>
    <t>Initial cost</t>
  </si>
  <si>
    <t>Cash Flow 1</t>
  </si>
  <si>
    <t>Cash Flow 2</t>
  </si>
  <si>
    <t>Cash Flow 3</t>
  </si>
  <si>
    <t>Cash Flow 4</t>
  </si>
  <si>
    <t>Cash Flow 5</t>
  </si>
  <si>
    <t>IRR</t>
  </si>
  <si>
    <t>=IRR(B2:B7)</t>
  </si>
  <si>
    <t>NPV</t>
  </si>
  <si>
    <t>x</t>
  </si>
  <si>
    <t>f(x)</t>
  </si>
  <si>
    <t>=NPV(C1, B3:B7) +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</si>
</sst>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[$$-409]#,##0.0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2" fillId="0" borderId="0" xfId="0" applyFont="1"/>
    <xf numFmtId="164" fontId="0" fillId="0" borderId="8" xfId="0" applyNumberFormat="1" applyBorder="1"/>
    <xf numFmtId="164" fontId="0" fillId="0" borderId="0" xfId="0" applyNumberFormat="1"/>
    <xf numFmtId="0" fontId="0" fillId="0" borderId="6" xfId="0" applyBorder="1"/>
    <xf numFmtId="165" fontId="0" fillId="0" borderId="0" xfId="0" applyNumberFormat="1"/>
    <xf numFmtId="0" fontId="0" fillId="0" borderId="9" xfId="0" quotePrefix="1" applyBorder="1"/>
    <xf numFmtId="0" fontId="3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9" fontId="2" fillId="0" borderId="0" xfId="1" applyFont="1"/>
    <xf numFmtId="1" fontId="0" fillId="0" borderId="2" xfId="0" applyNumberFormat="1" applyBorder="1"/>
    <xf numFmtId="10" fontId="0" fillId="0" borderId="4" xfId="1" applyNumberFormat="1" applyFont="1" applyBorder="1"/>
    <xf numFmtId="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5B38-DFBA-4E06-A689-2B25821D87E0}">
  <dimension ref="A1:J10"/>
  <sheetViews>
    <sheetView topLeftCell="G1" workbookViewId="0">
      <selection activeCell="H8" sqref="H8"/>
    </sheetView>
  </sheetViews>
  <sheetFormatPr defaultRowHeight="14.4" x14ac:dyDescent="0.3"/>
  <cols>
    <col min="1" max="1" width="27.44140625" bestFit="1" customWidth="1"/>
    <col min="2" max="2" width="11.109375" bestFit="1" customWidth="1"/>
    <col min="4" max="4" width="27.44140625" bestFit="1" customWidth="1"/>
    <col min="5" max="5" width="11.109375" bestFit="1" customWidth="1"/>
    <col min="7" max="7" width="27.44140625" bestFit="1" customWidth="1"/>
    <col min="8" max="8" width="11.109375" bestFit="1" customWidth="1"/>
  </cols>
  <sheetData>
    <row r="1" spans="1:10" x14ac:dyDescent="0.3">
      <c r="A1" t="s">
        <v>0</v>
      </c>
      <c r="D1" t="s">
        <v>1</v>
      </c>
      <c r="G1" t="s">
        <v>2</v>
      </c>
    </row>
    <row r="2" spans="1:10" s="9" customFormat="1" ht="15" thickBot="1" x14ac:dyDescent="0.35">
      <c r="A2" s="9" t="s">
        <v>0</v>
      </c>
      <c r="D2" s="9" t="s">
        <v>1</v>
      </c>
      <c r="G2" s="9" t="s">
        <v>2</v>
      </c>
    </row>
    <row r="3" spans="1:10" x14ac:dyDescent="0.3">
      <c r="A3" s="2" t="s">
        <v>3</v>
      </c>
      <c r="B3" s="18">
        <v>10</v>
      </c>
      <c r="D3" s="2" t="s">
        <v>3</v>
      </c>
      <c r="E3" s="18">
        <v>10</v>
      </c>
      <c r="G3" s="2" t="s">
        <v>3</v>
      </c>
      <c r="H3" s="18">
        <v>10</v>
      </c>
    </row>
    <row r="4" spans="1:10" x14ac:dyDescent="0.3">
      <c r="A4" s="4" t="s">
        <v>4</v>
      </c>
      <c r="B4" s="19">
        <f>E4</f>
        <v>8.3333333333485901E-3</v>
      </c>
      <c r="D4" s="4" t="s">
        <v>4</v>
      </c>
      <c r="E4" s="19">
        <f>RATE(E5,-E8,E6)</f>
        <v>8.3333333333485901E-3</v>
      </c>
      <c r="G4" s="4" t="s">
        <v>4</v>
      </c>
      <c r="H4" s="19">
        <f>0.1/12</f>
        <v>8.3333333333333332E-3</v>
      </c>
    </row>
    <row r="5" spans="1:10" x14ac:dyDescent="0.3">
      <c r="A5" s="4" t="s">
        <v>5</v>
      </c>
      <c r="B5" s="5">
        <f>NPER(B4,-B8,B6)</f>
        <v>36.000000000011021</v>
      </c>
      <c r="D5" s="4" t="s">
        <v>5</v>
      </c>
      <c r="E5" s="5">
        <f>H5</f>
        <v>36</v>
      </c>
      <c r="G5" s="4" t="s">
        <v>5</v>
      </c>
      <c r="H5" s="14">
        <f>3*12</f>
        <v>36</v>
      </c>
    </row>
    <row r="6" spans="1:10" ht="15" thickBot="1" x14ac:dyDescent="0.35">
      <c r="A6" s="6" t="s">
        <v>6</v>
      </c>
      <c r="B6" s="7">
        <f>H6</f>
        <v>150000</v>
      </c>
      <c r="D6" s="6" t="s">
        <v>6</v>
      </c>
      <c r="E6" s="7">
        <f>H6</f>
        <v>150000</v>
      </c>
      <c r="G6" s="6" t="s">
        <v>6</v>
      </c>
      <c r="H6" s="7">
        <v>150000</v>
      </c>
    </row>
    <row r="7" spans="1:10" ht="15" thickBot="1" x14ac:dyDescent="0.35"/>
    <row r="8" spans="1:10" ht="15" thickBot="1" x14ac:dyDescent="0.35">
      <c r="A8" s="8" t="s">
        <v>7</v>
      </c>
      <c r="B8" s="10">
        <f>H8</f>
        <v>4840.0780790756226</v>
      </c>
      <c r="D8" s="8" t="s">
        <v>7</v>
      </c>
      <c r="E8" s="10">
        <f>H8</f>
        <v>4840.0780790756226</v>
      </c>
      <c r="G8" s="8" t="s">
        <v>2</v>
      </c>
      <c r="H8" s="10">
        <f>PMT(H4,H5,-H6)</f>
        <v>4840.0780790756226</v>
      </c>
      <c r="I8" s="9"/>
      <c r="J8" s="11">
        <f>H8-1000</f>
        <v>3840.0780790756226</v>
      </c>
    </row>
    <row r="10" spans="1:10" x14ac:dyDescent="0.3">
      <c r="H10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31AF-AA66-4C0C-9B0E-C9907795DAC9}">
  <dimension ref="A1:C9"/>
  <sheetViews>
    <sheetView tabSelected="1" workbookViewId="0">
      <selection activeCell="B9" sqref="B9"/>
    </sheetView>
  </sheetViews>
  <sheetFormatPr defaultRowHeight="14.4" x14ac:dyDescent="0.3"/>
  <cols>
    <col min="1" max="1" width="27.44140625" bestFit="1" customWidth="1"/>
    <col min="2" max="2" width="11.109375" bestFit="1" customWidth="1"/>
    <col min="3" max="3" width="9.6640625" bestFit="1" customWidth="1"/>
  </cols>
  <sheetData>
    <row r="1" spans="1:3" x14ac:dyDescent="0.3">
      <c r="A1" t="s">
        <v>8</v>
      </c>
    </row>
    <row r="2" spans="1:3" ht="15" thickBot="1" x14ac:dyDescent="0.35">
      <c r="B2" s="9"/>
    </row>
    <row r="3" spans="1:3" x14ac:dyDescent="0.3">
      <c r="A3" s="2" t="s">
        <v>3</v>
      </c>
      <c r="B3" s="3">
        <v>0.06</v>
      </c>
    </row>
    <row r="4" spans="1:3" ht="15" thickBot="1" x14ac:dyDescent="0.35">
      <c r="A4" s="4" t="s">
        <v>9</v>
      </c>
      <c r="B4" s="7">
        <v>1000</v>
      </c>
    </row>
    <row r="5" spans="1:3" ht="15" thickBot="1" x14ac:dyDescent="0.35">
      <c r="A5" s="4" t="s">
        <v>10</v>
      </c>
      <c r="B5" s="7">
        <v>300</v>
      </c>
    </row>
    <row r="6" spans="1:3" ht="15" thickBot="1" x14ac:dyDescent="0.35">
      <c r="A6" s="6" t="s">
        <v>11</v>
      </c>
      <c r="B6" s="12">
        <v>5</v>
      </c>
    </row>
    <row r="7" spans="1:3" ht="15" thickBot="1" x14ac:dyDescent="0.35"/>
    <row r="8" spans="1:3" ht="15" thickBot="1" x14ac:dyDescent="0.35">
      <c r="A8" s="8" t="s">
        <v>12</v>
      </c>
      <c r="B8" s="10">
        <f>FV(B3,B6,-B5)</f>
        <v>1691.1278880000025</v>
      </c>
      <c r="C8" s="20"/>
    </row>
    <row r="9" spans="1:3" ht="15" thickBot="1" x14ac:dyDescent="0.35">
      <c r="A9" s="8" t="s">
        <v>13</v>
      </c>
      <c r="B9" s="10">
        <f>PV(B3,B6,-B5)</f>
        <v>1263.7091356697156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90C9-0EFE-4951-948A-D77D313F0118}">
  <dimension ref="A1:C11"/>
  <sheetViews>
    <sheetView workbookViewId="0">
      <selection activeCell="C10" sqref="C10"/>
    </sheetView>
  </sheetViews>
  <sheetFormatPr defaultRowHeight="14.4" x14ac:dyDescent="0.3"/>
  <cols>
    <col min="1" max="1" width="18.6640625" bestFit="1" customWidth="1"/>
    <col min="2" max="2" width="11" bestFit="1" customWidth="1"/>
    <col min="3" max="3" width="14" bestFit="1" customWidth="1"/>
    <col min="6" max="6" width="18.6640625" bestFit="1" customWidth="1"/>
    <col min="7" max="7" width="11.6640625" bestFit="1" customWidth="1"/>
  </cols>
  <sheetData>
    <row r="1" spans="1:3" x14ac:dyDescent="0.3">
      <c r="A1" t="s">
        <v>14</v>
      </c>
      <c r="C1" s="17">
        <v>0.04</v>
      </c>
    </row>
    <row r="2" spans="1:3" x14ac:dyDescent="0.3">
      <c r="A2" t="s">
        <v>15</v>
      </c>
      <c r="B2" s="11">
        <v>-1000</v>
      </c>
      <c r="C2" s="1"/>
    </row>
    <row r="3" spans="1:3" x14ac:dyDescent="0.3">
      <c r="A3" t="s">
        <v>16</v>
      </c>
      <c r="B3" s="11">
        <v>300</v>
      </c>
    </row>
    <row r="4" spans="1:3" x14ac:dyDescent="0.3">
      <c r="A4" t="s">
        <v>17</v>
      </c>
      <c r="B4" s="11">
        <v>300</v>
      </c>
    </row>
    <row r="5" spans="1:3" x14ac:dyDescent="0.3">
      <c r="A5" t="s">
        <v>18</v>
      </c>
      <c r="B5" s="11">
        <v>300</v>
      </c>
    </row>
    <row r="6" spans="1:3" x14ac:dyDescent="0.3">
      <c r="A6" t="s">
        <v>19</v>
      </c>
      <c r="B6" s="11">
        <v>300</v>
      </c>
    </row>
    <row r="7" spans="1:3" x14ac:dyDescent="0.3">
      <c r="A7" t="s">
        <v>20</v>
      </c>
      <c r="B7" s="11">
        <v>300</v>
      </c>
    </row>
    <row r="9" spans="1:3" x14ac:dyDescent="0.3">
      <c r="A9" t="s">
        <v>21</v>
      </c>
      <c r="B9" s="13">
        <f>IRR(B2:B7)</f>
        <v>0.15238237116630637</v>
      </c>
      <c r="C9" s="1" t="s">
        <v>22</v>
      </c>
    </row>
    <row r="10" spans="1:3" x14ac:dyDescent="0.3">
      <c r="A10" t="s">
        <v>23</v>
      </c>
      <c r="B10" s="11">
        <f>NPV(C1, B3:B7) + B2</f>
        <v>335.54669930486148</v>
      </c>
      <c r="C10" s="1" t="s">
        <v>26</v>
      </c>
    </row>
    <row r="11" spans="1:3" x14ac:dyDescent="0.3">
      <c r="C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EC1D-1F9C-458F-834A-57DB101A9CD6}">
  <dimension ref="A2:E16"/>
  <sheetViews>
    <sheetView workbookViewId="0">
      <selection activeCell="M1" sqref="M1"/>
    </sheetView>
  </sheetViews>
  <sheetFormatPr defaultRowHeight="14.4" x14ac:dyDescent="0.3"/>
  <cols>
    <col min="3" max="3" width="37" customWidth="1"/>
  </cols>
  <sheetData>
    <row r="2" spans="1:5" x14ac:dyDescent="0.3">
      <c r="A2" t="s">
        <v>24</v>
      </c>
      <c r="B2" t="s">
        <v>25</v>
      </c>
    </row>
    <row r="3" spans="1:5" x14ac:dyDescent="0.3">
      <c r="A3">
        <v>0</v>
      </c>
      <c r="B3" cm="1">
        <f t="array" ref="B3">_xlfn.LAMBDA(_xlpm.x,(_xlpm.x/6+4)^5)(A3)</f>
        <v>1024</v>
      </c>
    </row>
    <row r="4" spans="1:5" x14ac:dyDescent="0.3">
      <c r="A4">
        <v>1</v>
      </c>
      <c r="B4" cm="1">
        <f t="array" ref="B4">_xlfn.LAMBDA(_xlpm.x,(_xlpm.x/6+4)^5)(A4)</f>
        <v>1255.8674125514408</v>
      </c>
    </row>
    <row r="5" spans="1:5" x14ac:dyDescent="0.3">
      <c r="A5">
        <v>2</v>
      </c>
      <c r="B5" cm="1">
        <f t="array" ref="B5">_xlfn.LAMBDA(_xlpm.x,(_xlpm.x/6+4)^5)(A5)</f>
        <v>1527.9547325102876</v>
      </c>
    </row>
    <row r="6" spans="1:5" x14ac:dyDescent="0.3">
      <c r="A6">
        <v>3</v>
      </c>
      <c r="B6" cm="1">
        <f t="array" ref="B6">_xlfn.LAMBDA(_xlpm.x,(_xlpm.x/6+4)^5)(A6)</f>
        <v>1845.28125</v>
      </c>
    </row>
    <row r="7" spans="1:5" x14ac:dyDescent="0.3">
      <c r="A7">
        <v>4</v>
      </c>
      <c r="B7" cm="1">
        <f t="array" ref="B7">_xlfn.LAMBDA(_xlpm.x,(_xlpm.x/6+4)^5)(A7)</f>
        <v>2213.2674897119355</v>
      </c>
    </row>
    <row r="8" spans="1:5" x14ac:dyDescent="0.3">
      <c r="A8">
        <v>5</v>
      </c>
      <c r="B8" cm="1">
        <f t="array" ref="B8">_xlfn.LAMBDA(_xlpm.x,(_xlpm.x/6+4)^5)(A8)</f>
        <v>2637.7506430041144</v>
      </c>
    </row>
    <row r="9" spans="1:5" x14ac:dyDescent="0.3">
      <c r="A9">
        <v>6</v>
      </c>
      <c r="B9" cm="1">
        <f t="array" ref="B9">_xlfn.LAMBDA(_xlpm.x,(_xlpm.x/6+4)^5)(A9)</f>
        <v>3125</v>
      </c>
    </row>
    <row r="10" spans="1:5" x14ac:dyDescent="0.3">
      <c r="A10">
        <v>7</v>
      </c>
      <c r="B10" cm="1">
        <f t="array" ref="B10">_xlfn.LAMBDA(_xlpm.x,(_xlpm.x/6+4)^5)(A10)</f>
        <v>3681.7323816872436</v>
      </c>
    </row>
    <row r="11" spans="1:5" x14ac:dyDescent="0.3">
      <c r="A11">
        <v>8</v>
      </c>
      <c r="B11" cm="1">
        <f t="array" ref="B11">_xlfn.LAMBDA(_xlpm.x,(_xlpm.x/6+4)^5)(A11)</f>
        <v>4315.1275720164604</v>
      </c>
    </row>
    <row r="12" spans="1:5" ht="15" x14ac:dyDescent="0.3">
      <c r="A12">
        <v>9</v>
      </c>
      <c r="B12" cm="1">
        <f t="array" ref="B12">_xlfn.LAMBDA(_xlpm.x,(_xlpm.x/6+4)^5)(A12)</f>
        <v>5032.84375</v>
      </c>
      <c r="C12" s="15"/>
      <c r="E12" s="16"/>
    </row>
    <row r="13" spans="1:5" x14ac:dyDescent="0.3">
      <c r="A13">
        <v>10</v>
      </c>
      <c r="B13" cm="1">
        <f t="array" ref="B13">_xlfn.LAMBDA(_xlpm.x,(_xlpm.x/6+4)^5)(A13)</f>
        <v>5843.0329218107008</v>
      </c>
    </row>
    <row r="14" spans="1:5" x14ac:dyDescent="0.3">
      <c r="A14">
        <v>11</v>
      </c>
      <c r="B14" cm="1">
        <f t="array" ref="B14">_xlfn.LAMBDA(_xlpm.x,(_xlpm.x/6+4)^5)(A14)</f>
        <v>6754.3563528806562</v>
      </c>
    </row>
    <row r="15" spans="1:5" x14ac:dyDescent="0.3">
      <c r="A15">
        <v>12</v>
      </c>
      <c r="B15" cm="1">
        <f t="array" ref="B15">_xlfn.LAMBDA(_xlpm.x,(_xlpm.x/6+4)^5)(A15)</f>
        <v>7776</v>
      </c>
    </row>
    <row r="16" spans="1:5" x14ac:dyDescent="0.3">
      <c r="A16">
        <v>13</v>
      </c>
      <c r="B16" cm="1">
        <f t="array" ref="B16">_xlfn.LAMBDA(_xlpm.x,(_xlpm.x/6+4)^5)(A16)</f>
        <v>8917.6899434156348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4C8BC-8765-47C8-927B-C21C85312D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</vt:lpstr>
      <vt:lpstr>Activity 2</vt:lpstr>
      <vt:lpstr>Activity 3</vt:lpstr>
      <vt:lpstr>Activity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Jessie Rudd</dc:creator>
  <cp:keywords/>
  <dc:description/>
  <cp:lastModifiedBy>Jessie Rudd</cp:lastModifiedBy>
  <cp:revision/>
  <dcterms:created xsi:type="dcterms:W3CDTF">2023-06-12T08:02:58Z</dcterms:created>
  <dcterms:modified xsi:type="dcterms:W3CDTF">2024-10-31T14:59:32Z</dcterms:modified>
  <cp:category/>
  <cp:contentStatus/>
</cp:coreProperties>
</file>