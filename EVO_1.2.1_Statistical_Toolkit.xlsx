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Hypothesis test" sheetId="2" state="visible" r:id="rId2"/>
    <sheet name="Confidence interval" sheetId="3" state="visible" r:id="rId3"/>
    <sheet name="Z-score" sheetId="4" state="visible" r:id="rId4"/>
    <sheet name="Same p different business" sheetId="5" state="visible" r:id="rId5"/>
    <sheet name="Formula reference" sheetId="6" state="visible" r:id="rId6"/>
  </sheets>
  <definedNames/>
  <calcPr calcId="124519" fullCalcOnLoad="1"/>
</workbook>
</file>

<file path=xl/styles.xml><?xml version="1.0" encoding="utf-8"?>
<styleSheet xmlns="http://schemas.openxmlformats.org/spreadsheetml/2006/main">
  <numFmts count="4">
    <numFmt numFmtId="164" formatCode="0.000"/>
    <numFmt numFmtId="165" formatCode="0.0000"/>
    <numFmt numFmtId="166" formatCode="0.0"/>
    <numFmt numFmtId="167" formatCode="0.0%"/>
  </numFmts>
  <fonts count="4">
    <font>
      <name val="Calibri"/>
      <family val="2"/>
      <color theme="1"/>
      <sz val="11"/>
      <scheme val="minor"/>
    </font>
    <font>
      <b val="1"/>
      <color rgb="00FFFFFF"/>
      <sz val="13"/>
    </font>
    <font>
      <b val="1"/>
    </font>
    <font>
      <i val="1"/>
      <color rgb="00555555"/>
      <sz val="9"/>
    </font>
  </fonts>
  <fills count="5">
    <fill>
      <patternFill/>
    </fill>
    <fill>
      <patternFill patternType="gray125"/>
    </fill>
    <fill>
      <patternFill patternType="solid">
        <fgColor rgb="002F5597"/>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0" fillId="0" borderId="0" applyAlignment="1" pivotButton="0" quotePrefix="0" xfId="0">
      <alignment vertical="top" wrapText="1"/>
    </xf>
    <xf numFmtId="0" fontId="0" fillId="3" borderId="1" pivotButton="0" quotePrefix="0" xfId="0"/>
    <xf numFmtId="0" fontId="3" fillId="0" borderId="0" pivotButton="0" quotePrefix="0" xfId="0"/>
    <xf numFmtId="2" fontId="0" fillId="4" borderId="1" pivotButton="0" quotePrefix="0" xfId="0"/>
    <xf numFmtId="0" fontId="0" fillId="4" borderId="1" pivotButton="0" quotePrefix="0" xfId="0"/>
    <xf numFmtId="164" fontId="0" fillId="4" borderId="1" pivotButton="0" quotePrefix="0" xfId="0"/>
    <xf numFmtId="165" fontId="0" fillId="4" borderId="1" pivotButton="0" quotePrefix="0" xfId="0"/>
    <xf numFmtId="0" fontId="0" fillId="0" borderId="0" applyAlignment="1" pivotButton="0" quotePrefix="0" xfId="0">
      <alignment wrapText="1"/>
    </xf>
    <xf numFmtId="1" fontId="0" fillId="4" borderId="1" pivotButton="0" quotePrefix="0" xfId="0"/>
    <xf numFmtId="0" fontId="3" fillId="0" borderId="0" applyAlignment="1" pivotButton="0" quotePrefix="0" xfId="0">
      <alignment wrapText="1"/>
    </xf>
    <xf numFmtId="166" fontId="0" fillId="4" borderId="1" pivotButton="0" quotePrefix="0" xfId="0"/>
    <xf numFmtId="167" fontId="0" fillId="4" borderId="1" pivotButton="0" quotePrefix="0" xfId="0"/>
    <xf numFmtId="0" fontId="2" fillId="0" borderId="0" applyAlignment="1" pivotButton="0" quotePrefix="0" xfId="0">
      <alignment wrapText="1"/>
    </xf>
    <xf numFmtId="0" fontId="2"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4" customWidth="1" min="1" max="1"/>
    <col width="22" customWidth="1" min="2" max="2"/>
    <col width="96" customWidth="1" min="3" max="3"/>
  </cols>
  <sheetData>
    <row r="1">
      <c r="A1" s="1" t="inlineStr">
        <is>
          <t>EVO Activity 1.2.1 — Statistical Interpretation Toolkit</t>
        </is>
      </c>
      <c r="B1" s="2" t="n"/>
      <c r="C1" s="2" t="n"/>
      <c r="D1" s="2" t="n"/>
      <c r="E1" s="2" t="n"/>
      <c r="F1" s="2" t="n"/>
    </row>
    <row r="3" ht="46" customHeight="1">
      <c r="A3" s="3" t="inlineStr">
        <is>
          <t>What this is</t>
        </is>
      </c>
      <c r="C3" s="4" t="inlineStr">
        <is>
          <t>A working calculator for the three tools in Activity 1.2.1: the hypothesis test, the confidence interval and the z-score. Every green cell is a live formula, so changing a yellow input recomputes everything downstream.</t>
        </is>
      </c>
    </row>
    <row r="4" ht="46" customHeight="1">
      <c r="A4" s="3" t="inlineStr">
        <is>
          <t>How to use it</t>
        </is>
      </c>
      <c r="C4" s="4" t="inlineStr">
        <is>
          <t>Type into the YELLOW cells only. GREEN cells are computed and should not be typed over. Each sheet states the formula it uses in words as well as in cells.</t>
        </is>
      </c>
    </row>
    <row r="5" ht="46" customHeight="1">
      <c r="A5" s="3" t="inlineStr">
        <is>
          <t>Why it is built this way</t>
        </is>
      </c>
      <c r="C5" s="4" t="inlineStr">
        <is>
          <t>Each step is its own cell referencing named inputs, rather than one long compound expression. A compound formula cannot be reviewed, and an unreviewable formula is how the wrong cell reference survived into the ROI figure in the Activity 1.1.1 workbook.</t>
        </is>
      </c>
    </row>
    <row r="6" ht="46" customHeight="1">
      <c r="A6" s="3" t="inlineStr">
        <is>
          <t>Sheets</t>
        </is>
      </c>
      <c r="C6" s="4" t="inlineStr">
        <is>
          <t>Hypothesis test — two-sample t-test with effect size and interval. Confidence interval — for a mean and for a proportion, plus a sample-size solver. Z-score — forwards and backwards, with tail probabilities. Two scenarios same p — the demonstration from the written solution. Formula reference — every formula in one place.</t>
        </is>
      </c>
    </row>
    <row r="7" ht="46" customHeight="1">
      <c r="A7" s="3" t="inlineStr">
        <is>
          <t>A caution the sheets cannot enforce</t>
        </is>
      </c>
      <c r="C7" s="4" t="inlineStr">
        <is>
          <t>All of this computes sampling uncertainty. None of it detects a badly drawn sample, a confounded design or a bundled intervention. A precise answer on a biased sample is a precise wrong answer.</t>
        </is>
      </c>
    </row>
    <row r="8" ht="46" customHeight="1">
      <c r="A8" s="3" t="inlineStr">
        <is>
          <t>Two bugs found in this workbook</t>
        </is>
      </c>
      <c r="C8" s="4" t="inlineStr">
        <is>
          <t>The first build of this file contained the exact error class the course keeps warning about. On the Confidence interval sheet the mean block's formulas were off by one row, so the lower bound read =B22-B25*B23 where it should have read =B21-B24*B22, and the t critical cell referenced itself. On the Z-score sheet the backwards block referenced its own row instead of the threshold input. Every one of those cells would still have displayed a plausible number. They were caught by evaluating the whole formula graph against an independent calculation rather than by reading the sheet, which is the only method that finds this kind of fault. The fix was to derive every reference from a tracked row variable instead of typing a cell address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8" customWidth="1" min="2" max="2"/>
    <col width="74" customWidth="1" min="3" max="3"/>
    <col width="14" customWidth="1" min="4" max="4"/>
    <col width="14" customWidth="1" min="5" max="5"/>
    <col width="14" customWidth="1" min="6" max="6"/>
  </cols>
  <sheetData>
    <row r="1">
      <c r="A1" s="1" t="inlineStr">
        <is>
          <t>Two-sample t-test  ·  Scenario 1 pattern</t>
        </is>
      </c>
      <c r="B1" s="2" t="n"/>
      <c r="C1" s="2" t="n"/>
      <c r="D1" s="2" t="n"/>
      <c r="E1" s="2" t="n"/>
      <c r="F1" s="2" t="n"/>
    </row>
    <row r="3">
      <c r="A3" s="3" t="inlineStr">
        <is>
          <t>INPUTS — type here</t>
        </is>
      </c>
    </row>
    <row r="4">
      <c r="A4" s="3" t="inlineStr">
        <is>
          <t>Group 1 mean  (x̄₁)</t>
        </is>
      </c>
      <c r="B4" s="5" t="n">
        <v>791</v>
      </c>
      <c r="C4" s="6" t="inlineStr">
        <is>
          <t>e.g. after</t>
        </is>
      </c>
    </row>
    <row r="5">
      <c r="A5" s="3" t="inlineStr">
        <is>
          <t>Group 1 standard deviation (s₁)</t>
        </is>
      </c>
      <c r="B5" s="5" t="n">
        <v>224</v>
      </c>
    </row>
    <row r="6">
      <c r="A6" s="3" t="inlineStr">
        <is>
          <t>Group 1 sample size (n₁)</t>
        </is>
      </c>
      <c r="B6" s="5" t="n">
        <v>176</v>
      </c>
    </row>
    <row r="7">
      <c r="A7" s="3" t="inlineStr">
        <is>
          <t>Group 2 mean  (x̄₂)</t>
        </is>
      </c>
      <c r="B7" s="5" t="n">
        <v>742</v>
      </c>
      <c r="C7" s="6" t="inlineStr">
        <is>
          <t>e.g. before</t>
        </is>
      </c>
    </row>
    <row r="8">
      <c r="A8" s="3" t="inlineStr">
        <is>
          <t>Group 2 standard deviation (s₂)</t>
        </is>
      </c>
      <c r="B8" s="5" t="n">
        <v>210</v>
      </c>
    </row>
    <row r="9">
      <c r="A9" s="3" t="inlineStr">
        <is>
          <t>Group 2 sample size (n₂)</t>
        </is>
      </c>
      <c r="B9" s="5" t="n">
        <v>180</v>
      </c>
    </row>
    <row r="10">
      <c r="A10" s="3" t="inlineStr">
        <is>
          <t>Significance level α</t>
        </is>
      </c>
      <c r="B10" s="5" t="n">
        <v>0.05</v>
      </c>
    </row>
    <row r="12">
      <c r="A12" s="3" t="inlineStr">
        <is>
          <t>RESULTS</t>
        </is>
      </c>
    </row>
    <row r="13">
      <c r="A13" s="3" t="inlineStr">
        <is>
          <t>Difference in means</t>
        </is>
      </c>
      <c r="B13" s="7">
        <f>B4-B7</f>
        <v/>
      </c>
      <c r="C13" s="6" t="inlineStr">
        <is>
          <t>= x̄₁ − x̄₂</t>
        </is>
      </c>
    </row>
    <row r="14">
      <c r="A14" s="3" t="inlineStr">
        <is>
          <t>Degrees of freedom</t>
        </is>
      </c>
      <c r="B14" s="8">
        <f>B6+B9-2</f>
        <v/>
      </c>
      <c r="C14" s="6" t="inlineStr">
        <is>
          <t>= n₁ + n₂ − 2</t>
        </is>
      </c>
    </row>
    <row r="15">
      <c r="A15" s="3" t="inlineStr">
        <is>
          <t>Pooled standard deviation</t>
        </is>
      </c>
      <c r="B15" s="7">
        <f>SQRT(((B6-1)*B5^2+(B9-1)*B8^2)/(B6+B9-2))</f>
        <v/>
      </c>
      <c r="C15" s="6" t="inlineStr">
        <is>
          <t>= SQRT( ((n₁−1)s₁² + (n₂−1)s₂²) / (n₁+n₂−2) )</t>
        </is>
      </c>
    </row>
    <row r="16">
      <c r="A16" s="3" t="inlineStr">
        <is>
          <t>Standard error of the difference</t>
        </is>
      </c>
      <c r="B16" s="7">
        <f>B15*SQRT(1/B6+1/B9)</f>
        <v/>
      </c>
      <c r="C16" s="6" t="inlineStr">
        <is>
          <t>= s_pooled × SQRT(1/n₁ + 1/n₂)</t>
        </is>
      </c>
    </row>
    <row r="17">
      <c r="A17" s="3" t="inlineStr">
        <is>
          <t>t statistic</t>
        </is>
      </c>
      <c r="B17" s="9">
        <f>B13/B16</f>
        <v/>
      </c>
      <c r="C17" s="6" t="inlineStr">
        <is>
          <t>= difference / standard error</t>
        </is>
      </c>
    </row>
    <row r="18">
      <c r="A18" s="3" t="inlineStr">
        <is>
          <t>p-value (two-tailed)</t>
        </is>
      </c>
      <c r="B18" s="10">
        <f>T.DIST.2T(ABS(B17),B14)</f>
        <v/>
      </c>
      <c r="C18" s="6" t="inlineStr">
        <is>
          <t>use when Hₐ says 'differs'</t>
        </is>
      </c>
    </row>
    <row r="19">
      <c r="A19" s="3" t="inlineStr">
        <is>
          <t>p-value (one-tailed)</t>
        </is>
      </c>
      <c r="B19" s="10">
        <f>T.DIST.RT(ABS(B17),B14)</f>
        <v/>
      </c>
      <c r="C19" s="6" t="inlineStr">
        <is>
          <t>use when Hₐ says 'greater than' — declare the direction BEFORE seeing data</t>
        </is>
      </c>
    </row>
    <row r="20">
      <c r="A20" s="3" t="inlineStr">
        <is>
          <t>Significant at α (two-tailed)?</t>
        </is>
      </c>
      <c r="B20" s="8">
        <f>IF(B18&lt;B10,"YES — reject H0","NO — fail to reject H0")</f>
        <v/>
      </c>
    </row>
    <row r="21">
      <c r="A21" s="3" t="inlineStr">
        <is>
          <t>Cohen's d</t>
        </is>
      </c>
      <c r="B21" s="9">
        <f>B13/B15</f>
        <v/>
      </c>
      <c r="C21" s="6" t="inlineStr">
        <is>
          <t>= difference / pooled standard deviation</t>
        </is>
      </c>
    </row>
    <row r="22">
      <c r="A22" s="3" t="inlineStr">
        <is>
          <t>Effect size label</t>
        </is>
      </c>
      <c r="B22" s="8">
        <f>IF(ABS(B21)&lt;0.2,"below small",IF(ABS(B21)&lt;0.5,"small",IF(ABS(B21)&lt;0.8,"medium","large")))</f>
        <v/>
      </c>
    </row>
    <row r="23">
      <c r="A23" s="3" t="inlineStr">
        <is>
          <t>t critical (two-tailed)</t>
        </is>
      </c>
      <c r="B23" s="9">
        <f>T.INV.2T(B10,B14)</f>
        <v/>
      </c>
    </row>
    <row r="24">
      <c r="A24" s="3" t="inlineStr">
        <is>
          <t>95% CI lower bound</t>
        </is>
      </c>
      <c r="B24" s="7">
        <f>B13-B23*B16</f>
        <v/>
      </c>
    </row>
    <row r="25">
      <c r="A25" s="3" t="inlineStr">
        <is>
          <t>95% CI upper bound</t>
        </is>
      </c>
      <c r="B25" s="7">
        <f>B13+B23*B16</f>
        <v/>
      </c>
    </row>
    <row r="26">
      <c r="A26" s="3" t="inlineStr">
        <is>
          <t>Interval excludes zero?</t>
        </is>
      </c>
      <c r="B26" s="8">
        <f>IF(OR(B24&gt;0,B25&lt;0),"YES — agrees with the two-tailed test","NO — no detectable difference")</f>
        <v/>
      </c>
    </row>
    <row r="28">
      <c r="A28" s="3" t="inlineStr">
        <is>
          <t>THE FOUR CASES — read significance and effect size together, never one alone</t>
        </is>
      </c>
    </row>
    <row r="29">
      <c r="A29" s="3" t="inlineStr">
        <is>
          <t>Significant + large effect</t>
        </is>
      </c>
      <c r="C29" s="11" t="inlineStr">
        <is>
          <t>The clean case. Act, and state the magnitude.</t>
        </is>
      </c>
    </row>
    <row r="30">
      <c r="A30" s="3" t="inlineStr">
        <is>
          <t>Significant + small effect</t>
        </is>
      </c>
      <c r="C30" s="11" t="inlineStr">
        <is>
          <t>Real but minor. Decide on cost-benefit. Very common with large samples.</t>
        </is>
      </c>
    </row>
    <row r="31">
      <c r="A31" s="3" t="inlineStr">
        <is>
          <t>Not significant + small effect</t>
        </is>
      </c>
      <c r="C31" s="11" t="inlineStr">
        <is>
          <t>Genuinely uninformative. Could be no effect, could be an underpowered test.</t>
        </is>
      </c>
    </row>
    <row r="32">
      <c r="A32" s="3" t="inlineStr">
        <is>
          <t>Not significant + LARGE effect</t>
        </is>
      </c>
      <c r="C32" s="11" t="inlineStr">
        <is>
          <t>The dangerous cell. Usually an underpowered study. Do NOT report as 'no effect' — report d and say the test lacked power.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6" customWidth="1" min="1" max="1"/>
    <col width="18" customWidth="1" min="2" max="2"/>
    <col width="74" customWidth="1" min="3" max="3"/>
    <col width="14" customWidth="1" min="4" max="4"/>
    <col width="14" customWidth="1" min="5" max="5"/>
    <col width="14" customWidth="1" min="6" max="6"/>
  </cols>
  <sheetData>
    <row r="1">
      <c r="A1" s="1" t="inlineStr">
        <is>
          <t>Confidence intervals  ·  Scenario 2 pattern</t>
        </is>
      </c>
      <c r="B1" s="2" t="n"/>
      <c r="C1" s="2" t="n"/>
      <c r="D1" s="2" t="n"/>
      <c r="E1" s="2" t="n"/>
      <c r="F1" s="2" t="n"/>
    </row>
    <row r="3">
      <c r="A3" s="3" t="inlineStr">
        <is>
          <t>A — PROPORTION (the poll case)</t>
        </is>
      </c>
    </row>
    <row r="4">
      <c r="A4" s="3" t="inlineStr">
        <is>
          <t>Observed proportion p</t>
        </is>
      </c>
      <c r="B4" s="5" t="n">
        <v>0.52</v>
      </c>
      <c r="C4" s="6" t="inlineStr">
        <is>
          <t>0.52 = 52%</t>
        </is>
      </c>
    </row>
    <row r="5">
      <c r="A5" s="3" t="inlineStr">
        <is>
          <t>Sample size n</t>
        </is>
      </c>
      <c r="B5" s="5" t="n">
        <v>2400</v>
      </c>
    </row>
    <row r="6">
      <c r="A6" s="3" t="inlineStr">
        <is>
          <t>Confidence level</t>
        </is>
      </c>
      <c r="B6" s="5" t="n">
        <v>0.95</v>
      </c>
    </row>
    <row r="7">
      <c r="A7" s="3" t="inlineStr">
        <is>
          <t>z for this confidence level</t>
        </is>
      </c>
      <c r="B7" s="9">
        <f>NORM.S.INV(1-(1-B6)/2)</f>
        <v/>
      </c>
      <c r="C7" s="6" t="inlineStr">
        <is>
          <t>95% → 1.960 · 90% → 1.645 · 99% → 2.576</t>
        </is>
      </c>
    </row>
    <row r="8">
      <c r="A8" s="3" t="inlineStr">
        <is>
          <t>Margin of error</t>
        </is>
      </c>
      <c r="B8" s="10">
        <f>B7*SQRT(B4*(1-B4)/B5)</f>
        <v/>
      </c>
      <c r="C8" s="6" t="inlineStr">
        <is>
          <t>= z × SQRT( p(1−p) / n )</t>
        </is>
      </c>
    </row>
    <row r="9">
      <c r="A9" s="3" t="inlineStr">
        <is>
          <t>Lower bound</t>
        </is>
      </c>
      <c r="B9" s="10">
        <f>B4-B8</f>
        <v/>
      </c>
    </row>
    <row r="10">
      <c r="A10" s="3" t="inlineStr">
        <is>
          <t>Upper bound</t>
        </is>
      </c>
      <c r="B10" s="10">
        <f>B4+B8</f>
        <v/>
      </c>
    </row>
    <row r="11">
      <c r="A11" s="3" t="inlineStr">
        <is>
          <t>Margin in percentage points</t>
        </is>
      </c>
      <c r="B11" s="7">
        <f>B8*100</f>
        <v/>
      </c>
    </row>
    <row r="12">
      <c r="A12" s="3" t="inlineStr">
        <is>
          <t>Does the interval establish a lead?</t>
        </is>
      </c>
      <c r="B12" s="8">
        <f>IF(B9&gt;0.505,"YES — the whole interval sits clear of 50%",IF(B9&lt;0.495,"NO — the interval reaches well below 50%","TOO CLOSE TO CALL — the lower bound sits on 50%, the line between leading and tied"))</f>
        <v/>
      </c>
    </row>
    <row r="14">
      <c r="A14" s="3" t="inlineStr">
        <is>
          <t>B — SAMPLE SIZE SOLVER</t>
        </is>
      </c>
    </row>
    <row r="15">
      <c r="A15" s="3" t="inlineStr">
        <is>
          <t>Target margin of error</t>
        </is>
      </c>
      <c r="B15" s="5" t="n">
        <v>0.02</v>
      </c>
      <c r="C15" s="6" t="inlineStr">
        <is>
          <t>0.02 = ±2 percentage points</t>
        </is>
      </c>
    </row>
    <row r="16">
      <c r="A16" s="3" t="inlineStr">
        <is>
          <t>Expected proportion</t>
        </is>
      </c>
      <c r="B16" s="5" t="n">
        <v>0.5</v>
      </c>
      <c r="C16" s="6" t="inlineStr">
        <is>
          <t>0.5 is the conservative worst case</t>
        </is>
      </c>
    </row>
    <row r="17">
      <c r="A17" s="3" t="inlineStr">
        <is>
          <t>Required sample size</t>
        </is>
      </c>
      <c r="B17" s="12">
        <f>CEILING.MATH(B7^2*B16*(1-B16)/B15^2)</f>
        <v/>
      </c>
      <c r="C17" s="6" t="inlineStr">
        <is>
          <t>= z² × p(1−p) / margin²</t>
        </is>
      </c>
    </row>
    <row r="18">
      <c r="A18" s="3" t="inlineStr">
        <is>
          <t>Sanity check — margin at n = 600</t>
        </is>
      </c>
      <c r="B18" s="10">
        <f>B7*SQRT(B16*(1-B16)/600)</f>
        <v/>
      </c>
      <c r="C18" s="6" t="inlineStr">
        <is>
          <t>a poll claiming ±2pp on a few hundred people is claiming precision its sample cannot deliver</t>
        </is>
      </c>
    </row>
    <row r="20">
      <c r="A20" s="3" t="inlineStr">
        <is>
          <t>C — MEAN (uses the t distribution)</t>
        </is>
      </c>
    </row>
    <row r="21">
      <c r="A21" s="3" t="inlineStr">
        <is>
          <t>Sample mean</t>
        </is>
      </c>
      <c r="B21" s="5" t="n">
        <v>49</v>
      </c>
      <c r="C21" s="6" t="inlineStr">
        <is>
          <t>e.g. a difference in means</t>
        </is>
      </c>
    </row>
    <row r="22">
      <c r="A22" s="3" t="inlineStr">
        <is>
          <t>Standard error</t>
        </is>
      </c>
      <c r="B22" s="5" t="n">
        <v>23.01</v>
      </c>
    </row>
    <row r="23">
      <c r="A23" s="3" t="inlineStr">
        <is>
          <t>Degrees of freedom</t>
        </is>
      </c>
      <c r="B23" s="5" t="n">
        <v>354</v>
      </c>
    </row>
    <row r="24">
      <c r="A24" s="3" t="inlineStr">
        <is>
          <t>t critical</t>
        </is>
      </c>
      <c r="B24" s="9">
        <f>T.INV.2T(1-B6,B23)</f>
        <v/>
      </c>
    </row>
    <row r="25">
      <c r="A25" s="3" t="inlineStr">
        <is>
          <t>Lower bound</t>
        </is>
      </c>
      <c r="B25" s="7">
        <f>B21-B24*B22</f>
        <v/>
      </c>
    </row>
    <row r="26">
      <c r="A26" s="3" t="inlineStr">
        <is>
          <t>Upper bound</t>
        </is>
      </c>
      <c r="B26" s="7">
        <f>B21+B24*B22</f>
        <v/>
      </c>
    </row>
    <row r="27">
      <c r="A27" s="3" t="inlineStr">
        <is>
          <t>Width</t>
        </is>
      </c>
      <c r="B27" s="7">
        <f>B26-B25</f>
        <v/>
      </c>
      <c r="C27" s="6" t="inlineStr">
        <is>
          <t>a wide interval means the decision is not settled, however small the p-value</t>
        </is>
      </c>
    </row>
    <row r="29" ht="32" customHeight="1">
      <c r="A29" s="13" t="inlineStr">
        <is>
          <t>WHAT THE INTERVAL DOES NOT COVER: non-response bias · coverage bias · question wording and order · misreported intentions · turnout. It quantifies SAMPLING error only. A tight interval on a biased sample is a precise wrong answer.</t>
        </is>
      </c>
    </row>
  </sheetData>
  <mergeCells count="1">
    <mergeCell ref="A29:C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6" customWidth="1" min="1" max="1"/>
    <col width="18" customWidth="1" min="2" max="2"/>
    <col width="74" customWidth="1" min="3" max="3"/>
    <col width="14" customWidth="1" min="4" max="4"/>
    <col width="14" customWidth="1" min="5" max="5"/>
    <col width="14" customWidth="1" min="6" max="6"/>
  </cols>
  <sheetData>
    <row r="1">
      <c r="A1" s="1" t="inlineStr">
        <is>
          <t>Z-scores  ·  Z = (x − μ) ÷ σ</t>
        </is>
      </c>
      <c r="B1" s="2" t="n"/>
      <c r="C1" s="2" t="n"/>
      <c r="D1" s="2" t="n"/>
      <c r="E1" s="2" t="n"/>
      <c r="F1" s="2" t="n"/>
    </row>
    <row r="3">
      <c r="A3" s="3" t="inlineStr">
        <is>
          <t>INPUTS</t>
        </is>
      </c>
    </row>
    <row r="4">
      <c r="A4" s="3" t="inlineStr">
        <is>
          <t>Mean of the distribution  (μ)</t>
        </is>
      </c>
      <c r="B4" s="5" t="n">
        <v>742</v>
      </c>
    </row>
    <row r="5">
      <c r="A5" s="3" t="inlineStr">
        <is>
          <t>Standard deviation  (σ)</t>
        </is>
      </c>
      <c r="B5" s="5" t="n">
        <v>210</v>
      </c>
    </row>
    <row r="6">
      <c r="A6" s="3" t="inlineStr">
        <is>
          <t>Data point  (x)</t>
        </is>
      </c>
      <c r="B6" s="5" t="n">
        <v>1240</v>
      </c>
    </row>
    <row r="8">
      <c r="A8" s="3" t="inlineStr">
        <is>
          <t>FORWARDS — how unusual is this point?</t>
        </is>
      </c>
    </row>
    <row r="9">
      <c r="A9" s="3" t="inlineStr">
        <is>
          <t>z-score</t>
        </is>
      </c>
      <c r="B9" s="9">
        <f>(B6-B4)/B5</f>
        <v/>
      </c>
      <c r="C9" s="6" t="inlineStr">
        <is>
          <t>= (x − μ) / σ   ·   same as STANDARDIZE(x, μ, σ)</t>
        </is>
      </c>
    </row>
    <row r="10">
      <c r="A10" s="3" t="inlineStr">
        <is>
          <t>Direction</t>
        </is>
      </c>
      <c r="B10" s="8">
        <f>IF(B9&gt;0,"above the mean",IF(B9&lt;0,"below the mean","exactly at the mean"))</f>
        <v/>
      </c>
    </row>
    <row r="11">
      <c r="A11" s="3" t="inlineStr">
        <is>
          <t>Probability of a value this high or higher</t>
        </is>
      </c>
      <c r="B11" s="10">
        <f>1-NORM.S.DIST(B9,TRUE)</f>
        <v/>
      </c>
      <c r="C11" s="6" t="inlineStr">
        <is>
          <t>one tail</t>
        </is>
      </c>
    </row>
    <row r="12">
      <c r="A12" s="3" t="inlineStr">
        <is>
          <t>Probability this far from the mean either way</t>
        </is>
      </c>
      <c r="B12" s="10">
        <f>2*(1-NORM.S.DIST(ABS(B9),TRUE))</f>
        <v/>
      </c>
      <c r="C12" s="6" t="inlineStr">
        <is>
          <t>two tails</t>
        </is>
      </c>
    </row>
    <row r="13">
      <c r="A13" s="3" t="inlineStr">
        <is>
          <t>Reading</t>
        </is>
      </c>
      <c r="B13" s="8">
        <f>IF(ABS(B9)&lt;1,"ordinary variation",IF(ABS(B9)&lt;1.96,"somewhat unusual",IF(ABS(B9)&lt;2.58,"unusual — worth a look",IF(ABS(B9)&lt;3,"rare","investigate"))))</f>
        <v/>
      </c>
    </row>
    <row r="15">
      <c r="A15" s="3" t="inlineStr">
        <is>
          <t>BACKWARDS — what value sits at a chosen threshold?</t>
        </is>
      </c>
    </row>
    <row r="16">
      <c r="A16" s="3" t="inlineStr">
        <is>
          <t>Chosen z threshold</t>
        </is>
      </c>
      <c r="B16" s="5" t="n">
        <v>1.96</v>
      </c>
      <c r="C16" s="6" t="inlineStr">
        <is>
          <t>1.645 = 95% one tail · 1.96 = 95% two tails · 2.576 = 99%</t>
        </is>
      </c>
    </row>
    <row r="17">
      <c r="A17" s="3" t="inlineStr">
        <is>
          <t>Value at that threshold</t>
        </is>
      </c>
      <c r="B17" s="7">
        <f>B4+B16*B5</f>
        <v/>
      </c>
      <c r="C17" s="6" t="inlineStr">
        <is>
          <t>= μ + z × σ</t>
        </is>
      </c>
    </row>
    <row r="18">
      <c r="A18" s="3" t="inlineStr">
        <is>
          <t>Value at the lower threshold</t>
        </is>
      </c>
      <c r="B18" s="7">
        <f>B4-B16*B5</f>
        <v/>
      </c>
    </row>
    <row r="20" ht="30" customHeight="1">
      <c r="A20" s="13" t="inlineStr">
        <is>
          <t>The backwards direction is the useful one: it converts a chosen confidence level into a number in business units, which is how a z-score becomes an alert threshold on a dashboard rather than a figure in a report.</t>
        </is>
      </c>
    </row>
    <row r="22">
      <c r="A22" s="3" t="inlineStr">
        <is>
          <t>THREE THINGS A Z-SCORE DOES NOT TELL YOU</t>
        </is>
      </c>
    </row>
    <row r="23">
      <c r="A23" s="3" t="inlineStr">
        <is>
          <t>It does not say the value is wrong</t>
        </is>
      </c>
      <c r="C23" s="11" t="inlineStr">
        <is>
          <t>It says the value is far from the mean. The Black Friday residual was extreme and entirely correct.</t>
        </is>
      </c>
    </row>
    <row r="24">
      <c r="A24" s="3" t="inlineStr">
        <is>
          <t>It assumes a roughly symmetric distribution</t>
        </is>
      </c>
      <c r="C24" s="11" t="inlineStr">
        <is>
          <t>On skewed data — income, response times, order values — z-scores mislabel ordinary values as extreme. Use IQR fences instead.</t>
        </is>
      </c>
    </row>
    <row r="25">
      <c r="A25" s="3" t="inlineStr">
        <is>
          <t>It is inflated by its own outlier</t>
        </is>
      </c>
      <c r="C25" s="11" t="inlineStr">
        <is>
          <t>One enormous value pulls both the mean and the standard deviation up, dragging its own z-score down and masking other outliers.</t>
        </is>
      </c>
    </row>
    <row r="26">
      <c r="A26" s="3" t="inlineStr">
        <is>
          <t>The reference distribution must be stated</t>
        </is>
      </c>
      <c r="C26" s="11" t="inlineStr">
        <is>
          <t>Standardised against this month, the year, or the industry, the same point gets three different z-scores.</t>
        </is>
      </c>
    </row>
  </sheetData>
  <mergeCells count="1">
    <mergeCell ref="A20:C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2" customWidth="1" min="1" max="1"/>
    <col width="20" customWidth="1" min="2" max="2"/>
    <col width="20" customWidth="1" min="3" max="3"/>
    <col width="60" customWidth="1" min="4" max="4"/>
  </cols>
  <sheetData>
    <row r="1">
      <c r="A1" s="1" t="inlineStr">
        <is>
          <t>Why a p-value cannot decide an investment</t>
        </is>
      </c>
      <c r="B1" s="2" t="n"/>
      <c r="C1" s="2" t="n"/>
      <c r="D1" s="2" t="n"/>
    </row>
    <row r="3" ht="32" customHeight="1">
      <c r="A3" s="13" t="inlineStr">
        <is>
          <t>Both columns below produce a one-tailed p-value of exactly 0.03. Baseline sales 1 000 units per month with a standard deviation of 120. Change the yellow cells and watch both p-values stay at 0.03 while the business meaning diverges.</t>
        </is>
      </c>
    </row>
    <row r="5">
      <c r="B5" s="3" t="inlineStr">
        <is>
          <t>Case A — 12 months</t>
        </is>
      </c>
      <c r="C5" s="3" t="inlineStr">
        <is>
          <t>Case B — 200 stores</t>
        </is>
      </c>
    </row>
    <row r="6">
      <c r="A6" s="3" t="inlineStr">
        <is>
          <t>Baseline mean sales</t>
        </is>
      </c>
      <c r="B6" s="5" t="n">
        <v>1000</v>
      </c>
      <c r="C6" s="5" t="n">
        <v>1000</v>
      </c>
    </row>
    <row r="7">
      <c r="A7" s="3" t="inlineStr">
        <is>
          <t>Standard deviation</t>
        </is>
      </c>
      <c r="B7" s="5" t="n">
        <v>120</v>
      </c>
      <c r="C7" s="5" t="n">
        <v>120</v>
      </c>
    </row>
    <row r="8">
      <c r="A8" s="3" t="inlineStr">
        <is>
          <t>Sample size per group</t>
        </is>
      </c>
      <c r="B8" s="5" t="n">
        <v>12</v>
      </c>
      <c r="C8" s="5" t="n">
        <v>200</v>
      </c>
    </row>
    <row r="9">
      <c r="A9" s="3" t="inlineStr">
        <is>
          <t>Target one-tailed p-value</t>
        </is>
      </c>
      <c r="B9" s="5" t="n">
        <v>0.03</v>
      </c>
      <c r="C9" s="5" t="n">
        <v>0.03</v>
      </c>
    </row>
    <row r="10">
      <c r="A10" s="3" t="inlineStr">
        <is>
          <t>Degrees of freedom</t>
        </is>
      </c>
      <c r="B10" s="8">
        <f>2*B8-2</f>
        <v/>
      </c>
      <c r="C10" s="8">
        <f>2*C8-2</f>
        <v/>
      </c>
      <c r="D10" s="6" t="inlineStr">
        <is>
          <t>= 2n − 2</t>
        </is>
      </c>
    </row>
    <row r="11">
      <c r="A11" s="3" t="inlineStr">
        <is>
          <t>Critical t at that p</t>
        </is>
      </c>
      <c r="B11" s="9">
        <f>T.INV(1-B9,B10)</f>
        <v/>
      </c>
      <c r="C11" s="9">
        <f>T.INV(1-C9,C10)</f>
        <v/>
      </c>
      <c r="D11" s="6" t="inlineStr">
        <is>
          <t>one-tailed critical value</t>
        </is>
      </c>
    </row>
    <row r="12">
      <c r="A12" s="3" t="inlineStr">
        <is>
          <t>Standard error</t>
        </is>
      </c>
      <c r="B12" s="7">
        <f>B7*SQRT(2/B8)</f>
        <v/>
      </c>
      <c r="C12" s="7">
        <f>C7*SQRT(2/C8)</f>
        <v/>
      </c>
      <c r="D12" s="6" t="inlineStr">
        <is>
          <t>= s × SQRT(2/n)</t>
        </is>
      </c>
    </row>
    <row r="13">
      <c r="A13" s="3" t="inlineStr">
        <is>
          <t>Increase needed for p = 0.03</t>
        </is>
      </c>
      <c r="B13" s="14">
        <f>B11*B12</f>
        <v/>
      </c>
      <c r="C13" s="14">
        <f>C11*C12</f>
        <v/>
      </c>
      <c r="D13" s="6" t="inlineStr">
        <is>
          <t>= t × standard error</t>
        </is>
      </c>
    </row>
    <row r="14">
      <c r="A14" s="3" t="inlineStr">
        <is>
          <t>As a percentage lift</t>
        </is>
      </c>
      <c r="B14" s="15">
        <f>B13/B6</f>
        <v/>
      </c>
      <c r="C14" s="15">
        <f>C13/C6</f>
        <v/>
      </c>
    </row>
    <row r="15">
      <c r="A15" s="3" t="inlineStr">
        <is>
          <t>Cohen's d</t>
        </is>
      </c>
      <c r="B15" s="9">
        <f>B13/B7</f>
        <v/>
      </c>
      <c r="C15" s="9">
        <f>C13/C7</f>
        <v/>
      </c>
      <c r="D15" s="6" t="inlineStr">
        <is>
          <t>= increase / standard deviation</t>
        </is>
      </c>
    </row>
    <row r="16">
      <c r="A16" s="3" t="inlineStr">
        <is>
          <t>Effect size label</t>
        </is>
      </c>
      <c r="B16" s="8">
        <f>IF(B15&lt;0.2,"below small",IF(B15&lt;0.5,"small",IF(B15&lt;0.8,"medium","large")))</f>
        <v/>
      </c>
      <c r="C16" s="8">
        <f>IF(C15&lt;0.2,"below small",IF(C15&lt;0.5,"small",IF(C15&lt;0.8,"medium","large")))</f>
        <v/>
      </c>
    </row>
    <row r="18" ht="34" customHeight="1">
      <c r="A18" s="16" t="inlineStr">
        <is>
          <t>THE POINT: identical p-values, opposite business conclusions. One business gained roughly a tenth of its sales; the other gained about 2%, detectable only because 400 stores were measured. The p-value cannot distinguish them, so it cannot be the basis of the investment decision.</t>
        </is>
      </c>
    </row>
  </sheetData>
  <mergeCells count="2">
    <mergeCell ref="A18:D18"/>
    <mergeCell ref="A3:D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40" customWidth="1" min="1" max="1"/>
    <col width="54" customWidth="1" min="2" max="2"/>
    <col width="66" customWidth="1" min="3" max="3"/>
  </cols>
  <sheetData>
    <row r="1">
      <c r="A1" s="1" t="inlineStr">
        <is>
          <t>Every formula in this activity</t>
        </is>
      </c>
      <c r="B1" s="2" t="n"/>
      <c r="C1" s="2" t="n"/>
    </row>
    <row r="3">
      <c r="A3" s="3" t="inlineStr">
        <is>
          <t>Quantity</t>
        </is>
      </c>
      <c r="B3" s="3" t="inlineStr">
        <is>
          <t>Formula in words</t>
        </is>
      </c>
      <c r="C3" s="3" t="inlineStr">
        <is>
          <t>Spreadsheet pattern</t>
        </is>
      </c>
    </row>
    <row r="4">
      <c r="A4" s="17" t="inlineStr">
        <is>
          <t>Pooled standard deviation</t>
        </is>
      </c>
      <c r="B4" s="18" t="inlineStr">
        <is>
          <t>SQRT( ((n1−1)s1² + (n2−1)s2²) / (n1+n2−2) )</t>
        </is>
      </c>
      <c r="C4" s="18" t="inlineStr">
        <is>
          <t>=SQRT(((n1-1)*s1^2+(n2-1)*s2^2)/(n1+n2-2))</t>
        </is>
      </c>
    </row>
    <row r="5">
      <c r="A5" s="17" t="inlineStr">
        <is>
          <t>Standard error of a difference</t>
        </is>
      </c>
      <c r="B5" s="18" t="inlineStr">
        <is>
          <t>s_pooled × SQRT(1/n1 + 1/n2)</t>
        </is>
      </c>
      <c r="C5" s="18" t="inlineStr">
        <is>
          <t>=sp*SQRT(1/n1+1/n2)</t>
        </is>
      </c>
    </row>
    <row r="6">
      <c r="A6" s="17" t="inlineStr">
        <is>
          <t>t statistic</t>
        </is>
      </c>
      <c r="B6" s="18" t="inlineStr">
        <is>
          <t>(mean1 − mean2) / standard error</t>
        </is>
      </c>
      <c r="C6" s="18" t="inlineStr">
        <is>
          <t>=(m1-m2)/SE</t>
        </is>
      </c>
    </row>
    <row r="7">
      <c r="A7" s="17" t="inlineStr">
        <is>
          <t>p-value, two-tailed</t>
        </is>
      </c>
      <c r="B7" s="18" t="inlineStr">
        <is>
          <t>—</t>
        </is>
      </c>
      <c r="C7" s="18" t="inlineStr">
        <is>
          <t>=T.DIST.2T(ABS(t),df)</t>
        </is>
      </c>
    </row>
    <row r="8">
      <c r="A8" s="17" t="inlineStr">
        <is>
          <t>p-value, one-tailed</t>
        </is>
      </c>
      <c r="B8" s="18" t="inlineStr">
        <is>
          <t>—</t>
        </is>
      </c>
      <c r="C8" s="18" t="inlineStr">
        <is>
          <t>=T.DIST.RT(t,df)</t>
        </is>
      </c>
    </row>
    <row r="9">
      <c r="A9" s="17" t="inlineStr">
        <is>
          <t>Cohen's d</t>
        </is>
      </c>
      <c r="B9" s="18" t="inlineStr">
        <is>
          <t>(mean1 − mean2) / pooled standard deviation</t>
        </is>
      </c>
      <c r="C9" s="18" t="inlineStr">
        <is>
          <t>=(m1-m2)/sp</t>
        </is>
      </c>
    </row>
    <row r="10">
      <c r="A10" s="17" t="inlineStr">
        <is>
          <t>t critical value</t>
        </is>
      </c>
      <c r="B10" s="18" t="inlineStr">
        <is>
          <t>—</t>
        </is>
      </c>
      <c r="C10" s="18" t="inlineStr">
        <is>
          <t>=T.INV.2T(alpha,df)</t>
        </is>
      </c>
    </row>
    <row r="11">
      <c r="A11" s="17" t="inlineStr">
        <is>
          <t>Confidence interval for a mean</t>
        </is>
      </c>
      <c r="B11" s="18" t="inlineStr">
        <is>
          <t>mean ± t × standard error</t>
        </is>
      </c>
      <c r="C11" s="18" t="inlineStr">
        <is>
          <t>=mean-T.INV.2T(0.05,df)*SE   and   +</t>
        </is>
      </c>
    </row>
    <row r="12">
      <c r="A12" s="17" t="inlineStr">
        <is>
          <t>Confidence interval for a proportion</t>
        </is>
      </c>
      <c r="B12" s="18" t="inlineStr">
        <is>
          <t>p ± z × SQRT( p(1−p)/n )</t>
        </is>
      </c>
      <c r="C12" s="18" t="inlineStr">
        <is>
          <t>=p-1.96*SQRT(p*(1-p)/n)   and   +</t>
        </is>
      </c>
    </row>
    <row r="13">
      <c r="A13" s="17" t="inlineStr">
        <is>
          <t>Margin of error, proportion</t>
        </is>
      </c>
      <c r="B13" s="18" t="inlineStr">
        <is>
          <t>z × SQRT( p(1−p)/n )</t>
        </is>
      </c>
      <c r="C13" s="18" t="inlineStr">
        <is>
          <t>=1.96*SQRT(p*(1-p)/n)</t>
        </is>
      </c>
    </row>
    <row r="14">
      <c r="A14" s="17" t="inlineStr">
        <is>
          <t>Sample size for a target margin</t>
        </is>
      </c>
      <c r="B14" s="18" t="inlineStr">
        <is>
          <t>z² × p(1−p) / margin²</t>
        </is>
      </c>
      <c r="C14" s="18" t="inlineStr">
        <is>
          <t>=1.96^2*p*(1-p)/ME^2</t>
        </is>
      </c>
    </row>
    <row r="15">
      <c r="A15" s="17" t="inlineStr">
        <is>
          <t>z-score</t>
        </is>
      </c>
      <c r="B15" s="18" t="inlineStr">
        <is>
          <t>(x − mu) / sigma</t>
        </is>
      </c>
      <c r="C15" s="18" t="inlineStr">
        <is>
          <t>=(x-mean)/sd   or   =STANDARDIZE(x,mean,sd)</t>
        </is>
      </c>
    </row>
    <row r="16">
      <c r="A16" s="17" t="inlineStr">
        <is>
          <t>Value at a given z</t>
        </is>
      </c>
      <c r="B16" s="18" t="inlineStr">
        <is>
          <t>mu + z × sigma</t>
        </is>
      </c>
      <c r="C16" s="18" t="inlineStr">
        <is>
          <t>=mean+z*sd</t>
        </is>
      </c>
    </row>
    <row r="17">
      <c r="A17" s="17" t="inlineStr">
        <is>
          <t>Tail probability above z</t>
        </is>
      </c>
      <c r="B17" s="18" t="inlineStr">
        <is>
          <t>—</t>
        </is>
      </c>
      <c r="C17" s="18" t="inlineStr">
        <is>
          <t>=1-NORM.S.DIST(z,TRUE)</t>
        </is>
      </c>
    </row>
    <row r="18">
      <c r="A18" s="17" t="inlineStr">
        <is>
          <t>z for a given tail area</t>
        </is>
      </c>
      <c r="B18" s="18" t="inlineStr">
        <is>
          <t>—</t>
        </is>
      </c>
      <c r="C18" s="18" t="inlineStr">
        <is>
          <t>=NORM.S.INV(1-alpha)</t>
        </is>
      </c>
    </row>
    <row r="19">
      <c r="A19" s="17" t="inlineStr">
        <is>
          <t>z for a confidence level</t>
        </is>
      </c>
      <c r="B19" s="18" t="inlineStr">
        <is>
          <t>—</t>
        </is>
      </c>
      <c r="C19" s="18" t="inlineStr">
        <is>
          <t>=NORM.S.INV(1-(1-level)/2)</t>
        </is>
      </c>
    </row>
    <row r="21">
      <c r="A21" s="3" t="inlineStr">
        <is>
          <t>z for common confidence levels:  90% → 1.645   ·   95% → 1.960   ·   99% → 2.576</t>
        </is>
      </c>
    </row>
    <row r="23" ht="60" customHeight="1">
      <c r="A23" s="13" t="inlineStr">
        <is>
          <t>EXAM ROUTINE: 1) State H0 and Ha in the units of the problem and say one- or two-tailed BEFORE computing. 2) Compute the statistic. 3) Get the p-value and compare with alpha. 4) Compute the effect size. 5) Compute the confidence interval. 6) Read significance and effect size together using the four-case grid. 7) Convert into business units and attach a decision. Steps 6 and 7 are where the marks are.</t>
        </is>
      </c>
    </row>
  </sheetData>
  <mergeCells count="1">
    <mergeCell ref="A23:C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2026-09-12T09:27:12Z</dcterms:created>
  <dcterms:modified xsi:type="dcterms:W3CDTF">2026-09-12T09:27:12Z</dcterms:modified>
</cp:coreProperties>
</file>