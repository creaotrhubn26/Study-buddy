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off-my.sharepoint.com/personal/jessie_rudd_noroff_no/Documents/DA Year 1/STS Rewrite/STS - M1L3/"/>
    </mc:Choice>
  </mc:AlternateContent>
  <xr:revisionPtr revIDLastSave="167" documentId="8_{461CBA6A-E39C-44C6-8D3A-E6BC07A65FCD}" xr6:coauthVersionLast="47" xr6:coauthVersionMax="47" xr10:uidLastSave="{34EDBA53-535D-417A-ABF3-DAFA149AAAE1}"/>
  <bookViews>
    <workbookView xWindow="-108" yWindow="-108" windowWidth="23256" windowHeight="12456" xr2:uid="{9ACB64D9-24B5-464D-B028-2DA7A284DC99}"/>
  </bookViews>
  <sheets>
    <sheet name="Activity 1" sheetId="1" r:id="rId1"/>
    <sheet name="Activity 2" sheetId="2" r:id="rId2"/>
    <sheet name="Activity 3" sheetId="3" r:id="rId3"/>
    <sheet name="Activity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D2" i="2" a="1"/>
  <c r="D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<sst xmlns="http://schemas.openxmlformats.org/spreadsheetml/2006/main" count="127" uniqueCount="38">
  <si>
    <t>Age</t>
  </si>
  <si>
    <t>Price_Eur</t>
  </si>
  <si>
    <t>Slope</t>
  </si>
  <si>
    <t>Intercept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</si>
  <si>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</si>
  <si>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</si>
  <si>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</si>
  <si>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</si>
  <si>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</si>
  <si>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</si>
  <si>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</si>
  <si>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</si>
  <si>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</si>
  <si>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</si>
  <si>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</si>
  <si>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</si>
  <si>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</si>
  <si>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</si>
  <si>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</si>
  <si>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</si>
  <si>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</si>
  <si>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</si>
  <si>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</si>
  <si>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</si>
  <si>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</si>
  <si>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</si>
  <si>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</si>
  <si>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Gender</t>
  </si>
  <si>
    <t>Children</t>
  </si>
  <si>
    <t>Sex_Num</t>
  </si>
  <si>
    <t>Smoker_Num</t>
  </si>
  <si>
    <t>Sales</t>
  </si>
  <si>
    <t>Houses</t>
  </si>
  <si>
    <t>RESIDUAL OUTPUT</t>
  </si>
  <si>
    <t>Observation</t>
  </si>
  <si>
    <t>Predicted Price_Eur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</si>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</sst>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4" xfId="0" applyNumberFormat="1" applyBorder="1"/>
    <xf numFmtId="0" fontId="0" fillId="0" borderId="5" xfId="0" applyBorder="1"/>
    <xf numFmtId="2" fontId="0" fillId="0" borderId="6" xfId="0" applyNumberFormat="1" applyBorder="1"/>
    <xf numFmtId="0" fontId="0" fillId="0" borderId="7" xfId="0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3263-C3AB-4B31-A83E-7053DAA3D4BB}">
  <dimension ref="A1:E14"/>
  <sheetViews>
    <sheetView tabSelected="1" workbookViewId="0">
      <selection activeCell="A9" sqref="A9:B9"/>
    </sheetView>
  </sheetViews>
  <sheetFormatPr defaultRowHeight="14.4" x14ac:dyDescent="0.3"/>
  <cols>
    <col min="1" max="1" width="11.5546875" customWidth="1"/>
    <col min="2" max="2" width="11.77734375" customWidth="1"/>
  </cols>
  <sheetData>
    <row r="1" spans="1:5" x14ac:dyDescent="0.3">
      <c r="A1" s="1" t="s">
        <v>0</v>
      </c>
      <c r="B1" s="2" t="s">
        <v>1</v>
      </c>
      <c r="D1" t="s">
        <v>2</v>
      </c>
      <c r="E1" t="s">
        <v>3</v>
      </c>
    </row>
    <row r="2" spans="1:5" x14ac:dyDescent="0.3">
      <c r="A2" s="3">
        <v>3</v>
      </c>
      <c r="B2" s="4">
        <v>2914.3510000000001</v>
      </c>
      <c r="D2" cm="1">
        <f t="array" ref="D2:E2">LINEST($B$2:$B$14,$A$2:$A$14)</f>
        <v>1.020735576923077</v>
      </c>
      <c r="E2">
        <v>2593.9710432692304</v>
      </c>
    </row>
    <row r="3" spans="1:5" x14ac:dyDescent="0.3">
      <c r="A3" s="3">
        <v>24</v>
      </c>
      <c r="B3" s="4">
        <v>1927.2819999999999</v>
      </c>
    </row>
    <row r="4" spans="1:5" x14ac:dyDescent="0.3">
      <c r="A4" s="3">
        <v>20</v>
      </c>
      <c r="B4" s="4">
        <v>2579.3090000000002</v>
      </c>
    </row>
    <row r="5" spans="1:5" x14ac:dyDescent="0.3">
      <c r="A5" s="3">
        <v>16</v>
      </c>
      <c r="B5" s="4">
        <v>2758.3229999999999</v>
      </c>
    </row>
    <row r="6" spans="1:5" x14ac:dyDescent="0.3">
      <c r="A6" s="3">
        <v>18</v>
      </c>
      <c r="B6" s="4">
        <v>1999.3309999999999</v>
      </c>
    </row>
    <row r="7" spans="1:5" x14ac:dyDescent="0.3">
      <c r="A7" s="3">
        <v>5</v>
      </c>
      <c r="B7" s="4">
        <v>3209.1849999999999</v>
      </c>
    </row>
    <row r="8" spans="1:5" x14ac:dyDescent="0.3">
      <c r="A8" s="3">
        <v>8</v>
      </c>
      <c r="B8" s="4">
        <v>3440.3539999999998</v>
      </c>
    </row>
    <row r="9" spans="1:5" x14ac:dyDescent="0.3">
      <c r="A9" s="3">
        <v>27</v>
      </c>
      <c r="B9" s="4">
        <v>3096.308</v>
      </c>
    </row>
    <row r="10" spans="1:5" x14ac:dyDescent="0.3">
      <c r="A10" s="3">
        <v>5</v>
      </c>
      <c r="B10" s="4">
        <v>1664.248</v>
      </c>
    </row>
    <row r="11" spans="1:5" x14ac:dyDescent="0.3">
      <c r="A11" s="3">
        <v>20</v>
      </c>
      <c r="B11" s="4">
        <v>3414.1930000000002</v>
      </c>
    </row>
    <row r="12" spans="1:5" x14ac:dyDescent="0.3">
      <c r="A12" s="3">
        <v>18</v>
      </c>
      <c r="B12" s="4">
        <v>1922.318</v>
      </c>
    </row>
    <row r="13" spans="1:5" x14ac:dyDescent="0.3">
      <c r="A13" s="3">
        <v>7</v>
      </c>
      <c r="B13" s="4">
        <v>2077.2310000000002</v>
      </c>
    </row>
    <row r="14" spans="1:5" ht="15" thickBot="1" x14ac:dyDescent="0.35">
      <c r="A14" s="5">
        <v>24</v>
      </c>
      <c r="B14" s="6">
        <v>2918.2339999999999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D4CB-F379-4A7C-AABF-D29AEA6592A0}">
  <dimension ref="A1:P18"/>
  <sheetViews>
    <sheetView workbookViewId="0">
      <selection activeCell="E1" sqref="E1"/>
    </sheetView>
  </sheetViews>
  <sheetFormatPr defaultRowHeight="14.4" x14ac:dyDescent="0.3"/>
  <sheetData>
    <row r="1" spans="1:16" x14ac:dyDescent="0.3">
      <c r="A1" s="1" t="s">
        <v>0</v>
      </c>
      <c r="B1" s="2" t="s">
        <v>1</v>
      </c>
      <c r="D1" t="s">
        <v>2</v>
      </c>
      <c r="E1" t="s">
        <v>3</v>
      </c>
      <c r="H1" t="s">
        <v>4</v>
      </c>
    </row>
    <row r="2" spans="1:16" ht="15" thickBot="1" x14ac:dyDescent="0.35">
      <c r="A2" s="3">
        <v>3</v>
      </c>
      <c r="B2" s="4">
        <v>2914.3510000000001</v>
      </c>
      <c r="D2" cm="1">
        <f t="array" ref="D2:E6">LINEST(B2:B14,A2:A14,TRUE,TRUE)</f>
        <v>1.020735576923077</v>
      </c>
      <c r="E2">
        <v>2593.9710432692304</v>
      </c>
    </row>
    <row r="3" spans="1:16" x14ac:dyDescent="0.3">
      <c r="A3" s="3">
        <v>24</v>
      </c>
      <c r="B3" s="4">
        <v>1927.2819999999999</v>
      </c>
      <c r="D3">
        <v>22.496247696995489</v>
      </c>
      <c r="E3">
        <v>382.43621084892334</v>
      </c>
      <c r="H3" s="9" t="s">
        <v>5</v>
      </c>
      <c r="I3" s="9"/>
    </row>
    <row r="4" spans="1:16" x14ac:dyDescent="0.3">
      <c r="A4" s="3">
        <v>20</v>
      </c>
      <c r="B4" s="4">
        <v>2579.3090000000002</v>
      </c>
      <c r="D4">
        <v>1.8712524131366928E-4</v>
      </c>
      <c r="E4">
        <v>648.89099661644741</v>
      </c>
      <c r="H4" t="s">
        <v>6</v>
      </c>
      <c r="I4">
        <v>1.3679372840655717E-2</v>
      </c>
    </row>
    <row r="5" spans="1:16" x14ac:dyDescent="0.3">
      <c r="A5" s="3">
        <v>16</v>
      </c>
      <c r="B5" s="4">
        <v>2758.3229999999999</v>
      </c>
      <c r="D5">
        <v>2.0587629009550111E-3</v>
      </c>
      <c r="E5">
        <v>11</v>
      </c>
      <c r="H5" t="s">
        <v>7</v>
      </c>
      <c r="I5">
        <v>1.8712524131366928E-4</v>
      </c>
    </row>
    <row r="6" spans="1:16" x14ac:dyDescent="0.3">
      <c r="A6" s="3">
        <v>18</v>
      </c>
      <c r="B6" s="4">
        <v>1999.3309999999999</v>
      </c>
      <c r="D6">
        <v>866.86173017229885</v>
      </c>
      <c r="E6">
        <v>4631654.7803887501</v>
      </c>
      <c r="H6" t="s">
        <v>8</v>
      </c>
      <c r="I6">
        <v>-9.0704954282203265E-2</v>
      </c>
    </row>
    <row r="7" spans="1:16" x14ac:dyDescent="0.3">
      <c r="A7" s="3">
        <v>5</v>
      </c>
      <c r="B7" s="4">
        <v>3209.1849999999999</v>
      </c>
      <c r="H7" t="s">
        <v>9</v>
      </c>
      <c r="I7">
        <v>648.89099661644741</v>
      </c>
    </row>
    <row r="8" spans="1:16" ht="15" thickBot="1" x14ac:dyDescent="0.35">
      <c r="A8" s="3">
        <v>8</v>
      </c>
      <c r="B8" s="4">
        <v>3440.3539999999998</v>
      </c>
      <c r="H8" s="7" t="s">
        <v>10</v>
      </c>
      <c r="I8" s="7">
        <v>13</v>
      </c>
    </row>
    <row r="9" spans="1:16" x14ac:dyDescent="0.3">
      <c r="A9" s="3">
        <v>27</v>
      </c>
      <c r="B9" s="4">
        <v>3096.308</v>
      </c>
    </row>
    <row r="10" spans="1:16" ht="15" thickBot="1" x14ac:dyDescent="0.35">
      <c r="A10" s="3">
        <v>5</v>
      </c>
      <c r="B10" s="4">
        <v>1664.248</v>
      </c>
      <c r="H10" t="s">
        <v>11</v>
      </c>
    </row>
    <row r="11" spans="1:16" x14ac:dyDescent="0.3">
      <c r="A11" s="3">
        <v>20</v>
      </c>
      <c r="B11" s="4">
        <v>3414.1930000000002</v>
      </c>
      <c r="H11" s="8"/>
      <c r="I11" s="8" t="s">
        <v>15</v>
      </c>
      <c r="J11" s="8" t="s">
        <v>16</v>
      </c>
      <c r="K11" s="8" t="s">
        <v>17</v>
      </c>
      <c r="L11" s="8" t="s">
        <v>18</v>
      </c>
      <c r="M11" s="8" t="s">
        <v>19</v>
      </c>
    </row>
    <row r="12" spans="1:16" x14ac:dyDescent="0.3">
      <c r="A12" s="3">
        <v>18</v>
      </c>
      <c r="B12" s="4">
        <v>1922.318</v>
      </c>
      <c r="H12" t="s">
        <v>12</v>
      </c>
      <c r="I12">
        <v>1</v>
      </c>
      <c r="J12">
        <v>866.86173017229885</v>
      </c>
      <c r="K12">
        <v>866.86173017229885</v>
      </c>
      <c r="L12">
        <v>2.0587629009550111E-3</v>
      </c>
      <c r="M12">
        <v>0.96462276950429082</v>
      </c>
    </row>
    <row r="13" spans="1:16" x14ac:dyDescent="0.3">
      <c r="A13" s="3">
        <v>7</v>
      </c>
      <c r="B13" s="4">
        <v>2077.2310000000002</v>
      </c>
      <c r="H13" t="s">
        <v>13</v>
      </c>
      <c r="I13">
        <v>11</v>
      </c>
      <c r="J13">
        <v>4631654.7803887501</v>
      </c>
      <c r="K13">
        <v>421059.52548988635</v>
      </c>
    </row>
    <row r="14" spans="1:16" ht="15" thickBot="1" x14ac:dyDescent="0.35">
      <c r="A14" s="5">
        <v>24</v>
      </c>
      <c r="B14" s="6">
        <v>2918.2339999999999</v>
      </c>
      <c r="H14" s="7" t="s">
        <v>14</v>
      </c>
      <c r="I14" s="7">
        <v>12</v>
      </c>
      <c r="J14" s="7">
        <v>4632521.6421189224</v>
      </c>
      <c r="K14" s="7"/>
      <c r="L14" s="7"/>
      <c r="M14" s="7"/>
    </row>
    <row r="15" spans="1:16" ht="15" thickBot="1" x14ac:dyDescent="0.35"/>
    <row r="16" spans="1:16" x14ac:dyDescent="0.3">
      <c r="H16" s="8"/>
      <c r="I16" s="8" t="s">
        <v>20</v>
      </c>
      <c r="J16" s="8" t="s">
        <v>9</v>
      </c>
      <c r="K16" s="8" t="s">
        <v>21</v>
      </c>
      <c r="L16" s="8" t="s">
        <v>22</v>
      </c>
      <c r="M16" s="8" t="s">
        <v>23</v>
      </c>
      <c r="N16" s="8" t="s">
        <v>24</v>
      </c>
      <c r="O16" s="8" t="s">
        <v>25</v>
      </c>
      <c r="P16" s="8" t="s">
        <v>26</v>
      </c>
    </row>
    <row r="17" spans="8:16" x14ac:dyDescent="0.3">
      <c r="H17" t="s">
        <v>3</v>
      </c>
      <c r="I17">
        <v>2593.9710432692304</v>
      </c>
      <c r="J17">
        <v>382.43621084892334</v>
      </c>
      <c r="K17">
        <v>6.7827547959205843</v>
      </c>
      <c r="L17">
        <v>3.0223756524257825E-5</v>
      </c>
      <c r="M17">
        <v>1752.2346185090732</v>
      </c>
      <c r="N17">
        <v>3435.7074680293877</v>
      </c>
      <c r="O17">
        <v>1752.2346185090732</v>
      </c>
      <c r="P17">
        <v>3435.7074680293877</v>
      </c>
    </row>
    <row r="18" spans="8:16" ht="15" thickBot="1" x14ac:dyDescent="0.35">
      <c r="H18" s="7" t="s">
        <v>0</v>
      </c>
      <c r="I18" s="7">
        <v>1.020735576923077</v>
      </c>
      <c r="J18" s="7">
        <v>22.496247696995489</v>
      </c>
      <c r="K18" s="7">
        <v>4.5373592550699129E-2</v>
      </c>
      <c r="L18" s="7">
        <v>0.96462276950427506</v>
      </c>
      <c r="M18" s="7">
        <v>-48.493171761909686</v>
      </c>
      <c r="N18" s="7">
        <v>50.534642915755846</v>
      </c>
      <c r="O18" s="7">
        <v>-48.493171761909686</v>
      </c>
      <c r="P18" s="7">
        <v>50.534642915755846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0FD3-5EC6-4F23-817D-CCBA21A1E6B8}">
  <dimension ref="A1:N58"/>
  <sheetViews>
    <sheetView workbookViewId="0">
      <selection activeCell="M22" sqref="M22"/>
    </sheetView>
  </sheetViews>
  <sheetFormatPr defaultRowHeight="14.4" x14ac:dyDescent="0.3"/>
  <cols>
    <col min="5" max="5" width="17.44140625" bestFit="1" customWidth="1"/>
    <col min="6" max="6" width="12.6640625" bestFit="1" customWidth="1"/>
    <col min="7" max="7" width="13.44140625" bestFit="1" customWidth="1"/>
    <col min="8" max="9" width="12" bestFit="1" customWidth="1"/>
    <col min="10" max="10" width="12.6640625" bestFit="1" customWidth="1"/>
    <col min="11" max="11" width="12" bestFit="1" customWidth="1"/>
    <col min="12" max="12" width="12.6640625" bestFit="1" customWidth="1"/>
    <col min="13" max="13" width="12.109375" bestFit="1" customWidth="1"/>
  </cols>
  <sheetData>
    <row r="1" spans="1:13" x14ac:dyDescent="0.3">
      <c r="A1" s="1" t="s">
        <v>0</v>
      </c>
      <c r="B1" s="2" t="s">
        <v>1</v>
      </c>
      <c r="E1" t="s">
        <v>4</v>
      </c>
    </row>
    <row r="2" spans="1:13" ht="15" thickBot="1" x14ac:dyDescent="0.35">
      <c r="A2" s="3">
        <v>3</v>
      </c>
      <c r="B2" s="4">
        <v>2914.3510000000001</v>
      </c>
    </row>
    <row r="3" spans="1:13" x14ac:dyDescent="0.3">
      <c r="A3" s="3">
        <v>24</v>
      </c>
      <c r="B3" s="4">
        <v>1927.2819999999999</v>
      </c>
      <c r="E3" s="9" t="s">
        <v>5</v>
      </c>
      <c r="F3" s="9"/>
    </row>
    <row r="4" spans="1:13" x14ac:dyDescent="0.3">
      <c r="A4" s="3">
        <v>20</v>
      </c>
      <c r="B4" s="4">
        <v>2579.3090000000002</v>
      </c>
      <c r="E4" t="s">
        <v>6</v>
      </c>
      <c r="F4">
        <v>1.3679372840655717E-2</v>
      </c>
    </row>
    <row r="5" spans="1:13" x14ac:dyDescent="0.3">
      <c r="A5" s="3">
        <v>16</v>
      </c>
      <c r="B5" s="4">
        <v>2758.3229999999999</v>
      </c>
      <c r="E5" t="s">
        <v>7</v>
      </c>
      <c r="F5">
        <v>1.8712524131366928E-4</v>
      </c>
    </row>
    <row r="6" spans="1:13" x14ac:dyDescent="0.3">
      <c r="A6" s="3">
        <v>18</v>
      </c>
      <c r="B6" s="4">
        <v>1999.3309999999999</v>
      </c>
      <c r="E6" t="s">
        <v>8</v>
      </c>
      <c r="F6">
        <v>-9.0704954282203265E-2</v>
      </c>
    </row>
    <row r="7" spans="1:13" x14ac:dyDescent="0.3">
      <c r="A7" s="3">
        <v>5</v>
      </c>
      <c r="B7" s="4">
        <v>3209.1849999999999</v>
      </c>
      <c r="E7" t="s">
        <v>9</v>
      </c>
      <c r="F7">
        <v>648.89099661644741</v>
      </c>
    </row>
    <row r="8" spans="1:13" ht="15" thickBot="1" x14ac:dyDescent="0.35">
      <c r="A8" s="3">
        <v>8</v>
      </c>
      <c r="B8" s="4">
        <v>3440.3539999999998</v>
      </c>
      <c r="E8" s="7" t="s">
        <v>10</v>
      </c>
      <c r="F8" s="7">
        <v>13</v>
      </c>
    </row>
    <row r="9" spans="1:13" x14ac:dyDescent="0.3">
      <c r="A9" s="3">
        <v>27</v>
      </c>
      <c r="B9" s="4">
        <v>3096.308</v>
      </c>
    </row>
    <row r="10" spans="1:13" ht="15" thickBot="1" x14ac:dyDescent="0.35">
      <c r="A10" s="3">
        <v>5</v>
      </c>
      <c r="B10" s="4">
        <v>1664.248</v>
      </c>
      <c r="E10" t="s">
        <v>11</v>
      </c>
    </row>
    <row r="11" spans="1:13" x14ac:dyDescent="0.3">
      <c r="A11" s="3">
        <v>20</v>
      </c>
      <c r="B11" s="4">
        <v>3414.1930000000002</v>
      </c>
      <c r="E11" s="8"/>
      <c r="F11" s="8" t="s">
        <v>15</v>
      </c>
      <c r="G11" s="8" t="s">
        <v>16</v>
      </c>
      <c r="H11" s="8" t="s">
        <v>17</v>
      </c>
      <c r="I11" s="8" t="s">
        <v>18</v>
      </c>
      <c r="J11" s="8" t="s">
        <v>19</v>
      </c>
    </row>
    <row r="12" spans="1:13" x14ac:dyDescent="0.3">
      <c r="A12" s="3">
        <v>18</v>
      </c>
      <c r="B12" s="4">
        <v>1922.318</v>
      </c>
      <c r="E12" t="s">
        <v>12</v>
      </c>
      <c r="F12">
        <v>1</v>
      </c>
      <c r="G12">
        <v>866.86173017229885</v>
      </c>
      <c r="H12">
        <v>866.86173017229885</v>
      </c>
      <c r="I12">
        <v>2.0587629009550111E-3</v>
      </c>
      <c r="J12">
        <v>0.96462276950429082</v>
      </c>
    </row>
    <row r="13" spans="1:13" x14ac:dyDescent="0.3">
      <c r="A13" s="3">
        <v>7</v>
      </c>
      <c r="B13" s="4">
        <v>2077.2310000000002</v>
      </c>
      <c r="E13" t="s">
        <v>13</v>
      </c>
      <c r="F13">
        <v>11</v>
      </c>
      <c r="G13">
        <v>4631654.7803887501</v>
      </c>
      <c r="H13">
        <v>421059.52548988635</v>
      </c>
    </row>
    <row r="14" spans="1:13" ht="15" thickBot="1" x14ac:dyDescent="0.35">
      <c r="A14" s="5">
        <v>24</v>
      </c>
      <c r="B14" s="6">
        <v>2918.2339999999999</v>
      </c>
      <c r="E14" s="7" t="s">
        <v>14</v>
      </c>
      <c r="F14" s="7">
        <v>12</v>
      </c>
      <c r="G14" s="7">
        <v>4632521.6421189224</v>
      </c>
      <c r="H14" s="7"/>
      <c r="I14" s="7"/>
      <c r="J14" s="7"/>
    </row>
    <row r="15" spans="1:13" ht="15" thickBot="1" x14ac:dyDescent="0.35"/>
    <row r="16" spans="1:13" x14ac:dyDescent="0.3">
      <c r="E16" s="8"/>
      <c r="F16" s="8" t="s">
        <v>20</v>
      </c>
      <c r="G16" s="8" t="s">
        <v>9</v>
      </c>
      <c r="H16" s="8" t="s">
        <v>21</v>
      </c>
      <c r="I16" s="8" t="s">
        <v>22</v>
      </c>
      <c r="J16" s="8" t="s">
        <v>23</v>
      </c>
      <c r="K16" s="8" t="s">
        <v>24</v>
      </c>
      <c r="L16" s="8" t="s">
        <v>25</v>
      </c>
      <c r="M16" s="8" t="s">
        <v>26</v>
      </c>
    </row>
    <row r="17" spans="5:13" x14ac:dyDescent="0.3">
      <c r="E17" t="s">
        <v>3</v>
      </c>
      <c r="F17">
        <v>2593.9710432692304</v>
      </c>
      <c r="G17">
        <v>382.43621084892334</v>
      </c>
      <c r="H17">
        <v>6.7827547959205843</v>
      </c>
      <c r="I17">
        <v>3.0223756524257825E-5</v>
      </c>
      <c r="J17">
        <v>1752.2346185090732</v>
      </c>
      <c r="K17">
        <v>3435.7074680293877</v>
      </c>
      <c r="L17">
        <v>1752.2346185090732</v>
      </c>
      <c r="M17">
        <v>3435.7074680293877</v>
      </c>
    </row>
    <row r="18" spans="5:13" ht="15" thickBot="1" x14ac:dyDescent="0.35">
      <c r="E18" s="7" t="s">
        <v>0</v>
      </c>
      <c r="F18" s="7">
        <v>1.020735576923077</v>
      </c>
      <c r="G18" s="7">
        <v>22.496247696995489</v>
      </c>
      <c r="H18" s="7">
        <v>4.5373592550699129E-2</v>
      </c>
      <c r="I18" s="7">
        <v>0.96462276950427506</v>
      </c>
      <c r="J18" s="7">
        <v>-48.493171761909686</v>
      </c>
      <c r="K18" s="7">
        <v>50.534642915755846</v>
      </c>
      <c r="L18" s="7">
        <v>-48.493171761909686</v>
      </c>
      <c r="M18" s="7">
        <v>50.534642915755846</v>
      </c>
    </row>
    <row r="22" spans="5:13" x14ac:dyDescent="0.3">
      <c r="F22" t="s">
        <v>4</v>
      </c>
    </row>
    <row r="23" spans="5:13" ht="15" thickBot="1" x14ac:dyDescent="0.35"/>
    <row r="24" spans="5:13" x14ac:dyDescent="0.3">
      <c r="F24" s="9" t="s">
        <v>5</v>
      </c>
      <c r="G24" s="9"/>
    </row>
    <row r="25" spans="5:13" x14ac:dyDescent="0.3">
      <c r="F25" t="s">
        <v>6</v>
      </c>
      <c r="G25">
        <v>1.3679372840655717E-2</v>
      </c>
    </row>
    <row r="26" spans="5:13" x14ac:dyDescent="0.3">
      <c r="F26" t="s">
        <v>7</v>
      </c>
      <c r="G26">
        <v>1.8712524131366928E-4</v>
      </c>
    </row>
    <row r="27" spans="5:13" x14ac:dyDescent="0.3">
      <c r="F27" t="s">
        <v>8</v>
      </c>
      <c r="G27">
        <v>-9.0704954282203265E-2</v>
      </c>
    </row>
    <row r="28" spans="5:13" x14ac:dyDescent="0.3">
      <c r="F28" t="s">
        <v>9</v>
      </c>
      <c r="G28">
        <v>648.89099661644741</v>
      </c>
    </row>
    <row r="29" spans="5:13" ht="15" thickBot="1" x14ac:dyDescent="0.35">
      <c r="F29" s="7" t="s">
        <v>10</v>
      </c>
      <c r="G29" s="7">
        <v>13</v>
      </c>
    </row>
    <row r="31" spans="5:13" ht="15" thickBot="1" x14ac:dyDescent="0.35">
      <c r="F31" t="s">
        <v>11</v>
      </c>
    </row>
    <row r="32" spans="5:13" x14ac:dyDescent="0.3">
      <c r="F32" s="8"/>
      <c r="G32" s="8" t="s">
        <v>15</v>
      </c>
      <c r="H32" s="8" t="s">
        <v>16</v>
      </c>
      <c r="I32" s="8" t="s">
        <v>17</v>
      </c>
      <c r="J32" s="8" t="s">
        <v>18</v>
      </c>
      <c r="K32" s="8" t="s">
        <v>19</v>
      </c>
    </row>
    <row r="33" spans="6:14" x14ac:dyDescent="0.3">
      <c r="F33" t="s">
        <v>12</v>
      </c>
      <c r="G33">
        <v>1</v>
      </c>
      <c r="H33">
        <v>866.86173017229885</v>
      </c>
      <c r="I33">
        <v>866.86173017229885</v>
      </c>
      <c r="J33">
        <v>2.0587629009550111E-3</v>
      </c>
      <c r="K33">
        <v>0.96462276950429082</v>
      </c>
    </row>
    <row r="34" spans="6:14" x14ac:dyDescent="0.3">
      <c r="F34" t="s">
        <v>13</v>
      </c>
      <c r="G34">
        <v>11</v>
      </c>
      <c r="H34">
        <v>4631654.7803887501</v>
      </c>
      <c r="I34">
        <v>421059.52548988635</v>
      </c>
    </row>
    <row r="35" spans="6:14" ht="15" thickBot="1" x14ac:dyDescent="0.35">
      <c r="F35" s="7" t="s">
        <v>14</v>
      </c>
      <c r="G35" s="7">
        <v>12</v>
      </c>
      <c r="H35" s="7">
        <v>4632521.6421189224</v>
      </c>
      <c r="I35" s="7"/>
      <c r="J35" s="7"/>
      <c r="K35" s="7"/>
    </row>
    <row r="37" spans="6:14" x14ac:dyDescent="0.3">
      <c r="G37" t="s">
        <v>20</v>
      </c>
      <c r="H37" t="s">
        <v>9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  <c r="N37" t="s">
        <v>26</v>
      </c>
    </row>
    <row r="38" spans="6:14" x14ac:dyDescent="0.3">
      <c r="F38" t="s">
        <v>3</v>
      </c>
      <c r="G38">
        <v>2593.9710432692304</v>
      </c>
      <c r="H38">
        <v>382.43621084892334</v>
      </c>
      <c r="I38">
        <v>6.7827547959205843</v>
      </c>
      <c r="J38">
        <v>3.0223756524257825E-5</v>
      </c>
      <c r="K38">
        <v>1752.2346185090732</v>
      </c>
      <c r="L38">
        <v>3435.7074680293877</v>
      </c>
      <c r="M38">
        <v>1752.2346185090732</v>
      </c>
      <c r="N38">
        <v>3435.7074680293877</v>
      </c>
    </row>
    <row r="39" spans="6:14" x14ac:dyDescent="0.3">
      <c r="F39" t="s">
        <v>0</v>
      </c>
      <c r="G39">
        <v>1.020735576923077</v>
      </c>
      <c r="H39">
        <v>22.496247696995489</v>
      </c>
      <c r="I39">
        <v>4.5373592550699129E-2</v>
      </c>
      <c r="J39">
        <v>0.96462276950427506</v>
      </c>
      <c r="K39">
        <v>-48.493171761909686</v>
      </c>
      <c r="L39">
        <v>50.534642915755846</v>
      </c>
      <c r="M39">
        <v>-48.493171761909686</v>
      </c>
      <c r="N39">
        <v>50.534642915755846</v>
      </c>
    </row>
    <row r="43" spans="6:14" x14ac:dyDescent="0.3">
      <c r="F43" t="s">
        <v>33</v>
      </c>
    </row>
    <row r="45" spans="6:14" x14ac:dyDescent="0.3">
      <c r="F45" t="s">
        <v>34</v>
      </c>
      <c r="G45" t="s">
        <v>35</v>
      </c>
      <c r="H45" t="s">
        <v>36</v>
      </c>
      <c r="I45" t="s">
        <v>37</v>
      </c>
    </row>
    <row r="46" spans="6:14" x14ac:dyDescent="0.3">
      <c r="F46">
        <v>1</v>
      </c>
      <c r="G46">
        <v>406.96773249933449</v>
      </c>
      <c r="H46">
        <v>2507.3832675006656</v>
      </c>
      <c r="I46">
        <v>1.8452757360843299</v>
      </c>
    </row>
    <row r="47" spans="6:14" x14ac:dyDescent="0.3">
      <c r="F47">
        <v>2</v>
      </c>
      <c r="G47">
        <v>3255.7418599946759</v>
      </c>
      <c r="H47">
        <v>-1328.459859994676</v>
      </c>
      <c r="I47">
        <v>-0.97766256071959323</v>
      </c>
    </row>
    <row r="48" spans="6:14" x14ac:dyDescent="0.3">
      <c r="F48">
        <v>3</v>
      </c>
      <c r="G48">
        <v>2713.1182166622302</v>
      </c>
      <c r="H48">
        <v>-133.80921666223003</v>
      </c>
      <c r="I48">
        <v>-9.8475133008838492E-2</v>
      </c>
    </row>
    <row r="49" spans="6:9" x14ac:dyDescent="0.3">
      <c r="F49">
        <v>4</v>
      </c>
      <c r="G49">
        <v>2170.4945733297841</v>
      </c>
      <c r="H49">
        <v>587.82842667021578</v>
      </c>
      <c r="I49">
        <v>0.43260459889580405</v>
      </c>
    </row>
    <row r="50" spans="6:9" x14ac:dyDescent="0.3">
      <c r="F50">
        <v>5</v>
      </c>
      <c r="G50">
        <v>2441.8063949960069</v>
      </c>
      <c r="H50">
        <v>-442.47539499600703</v>
      </c>
      <c r="I50">
        <v>-0.32563394706479382</v>
      </c>
    </row>
    <row r="51" spans="6:9" x14ac:dyDescent="0.3">
      <c r="F51">
        <v>6</v>
      </c>
      <c r="G51">
        <v>678.27955416555756</v>
      </c>
      <c r="H51">
        <v>2530.9054458344426</v>
      </c>
      <c r="I51">
        <v>1.8625865738416676</v>
      </c>
    </row>
    <row r="52" spans="6:9" x14ac:dyDescent="0.3">
      <c r="F52">
        <v>7</v>
      </c>
      <c r="G52">
        <v>1085.247286664892</v>
      </c>
      <c r="H52">
        <v>2355.106713335108</v>
      </c>
      <c r="I52">
        <v>1.73320980894096</v>
      </c>
    </row>
    <row r="53" spans="6:9" x14ac:dyDescent="0.3">
      <c r="F53">
        <v>8</v>
      </c>
      <c r="G53">
        <v>3662.7095924940108</v>
      </c>
      <c r="H53">
        <v>-566.40159249401086</v>
      </c>
      <c r="I53">
        <v>-0.41683580211115256</v>
      </c>
    </row>
    <row r="54" spans="6:9" x14ac:dyDescent="0.3">
      <c r="F54">
        <v>9</v>
      </c>
      <c r="G54">
        <v>678.27955416555756</v>
      </c>
      <c r="H54">
        <v>985.96844583444249</v>
      </c>
      <c r="I54">
        <v>0.72561050926076287</v>
      </c>
    </row>
    <row r="55" spans="6:9" x14ac:dyDescent="0.3">
      <c r="F55">
        <v>10</v>
      </c>
      <c r="G55">
        <v>2713.1182166622302</v>
      </c>
      <c r="H55">
        <v>701.07478333776999</v>
      </c>
      <c r="I55">
        <v>0.51594676555502783</v>
      </c>
    </row>
    <row r="56" spans="6:9" x14ac:dyDescent="0.3">
      <c r="F56">
        <v>11</v>
      </c>
      <c r="G56">
        <v>2441.8063949960069</v>
      </c>
      <c r="H56">
        <v>-519.48839499600695</v>
      </c>
      <c r="I56">
        <v>-0.38231065146216997</v>
      </c>
    </row>
    <row r="57" spans="6:9" x14ac:dyDescent="0.3">
      <c r="F57">
        <v>12</v>
      </c>
      <c r="G57">
        <v>949.59137583178051</v>
      </c>
      <c r="H57">
        <v>1127.6396241682196</v>
      </c>
      <c r="I57">
        <v>0.82987154955332976</v>
      </c>
    </row>
    <row r="58" spans="6:9" x14ac:dyDescent="0.3">
      <c r="F58">
        <v>13</v>
      </c>
      <c r="G58">
        <v>3255.7418599946759</v>
      </c>
      <c r="H58">
        <v>-337.50785999467598</v>
      </c>
      <c r="I58">
        <v>-0.24838447031941732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7665-4B03-417D-854A-3392998D3A11}">
  <dimension ref="A1:P21"/>
  <sheetViews>
    <sheetView workbookViewId="0">
      <selection activeCell="H21" sqref="H21"/>
    </sheetView>
  </sheetViews>
  <sheetFormatPr defaultRowHeight="14.4" x14ac:dyDescent="0.3"/>
  <cols>
    <col min="1" max="1" width="6.88671875" bestFit="1" customWidth="1"/>
    <col min="2" max="2" width="7.6640625" bestFit="1" customWidth="1"/>
    <col min="3" max="3" width="8.6640625" bestFit="1" customWidth="1"/>
    <col min="4" max="4" width="12" bestFit="1" customWidth="1"/>
    <col min="5" max="5" width="5.109375" bestFit="1" customWidth="1"/>
    <col min="8" max="8" width="17.44140625" bestFit="1" customWidth="1"/>
    <col min="9" max="9" width="12.6640625" bestFit="1" customWidth="1"/>
    <col min="10" max="10" width="13.44140625" bestFit="1" customWidth="1"/>
    <col min="11" max="11" width="12.6640625" bestFit="1" customWidth="1"/>
    <col min="12" max="12" width="12" bestFit="1" customWidth="1"/>
    <col min="13" max="13" width="12.6640625" bestFit="1" customWidth="1"/>
    <col min="14" max="14" width="12" bestFit="1" customWidth="1"/>
    <col min="15" max="15" width="12.6640625" bestFit="1" customWidth="1"/>
    <col min="16" max="16" width="12.109375" bestFit="1" customWidth="1"/>
  </cols>
  <sheetData>
    <row r="1" spans="1:16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H1" t="s">
        <v>4</v>
      </c>
    </row>
    <row r="2" spans="1:16" ht="15" thickBot="1" x14ac:dyDescent="0.35">
      <c r="A2">
        <v>1</v>
      </c>
      <c r="B2">
        <v>3</v>
      </c>
      <c r="C2">
        <v>0</v>
      </c>
      <c r="D2">
        <v>1</v>
      </c>
      <c r="E2">
        <v>507</v>
      </c>
    </row>
    <row r="3" spans="1:16" x14ac:dyDescent="0.3">
      <c r="A3">
        <v>0</v>
      </c>
      <c r="B3">
        <v>4</v>
      </c>
      <c r="C3">
        <v>0</v>
      </c>
      <c r="D3">
        <v>0</v>
      </c>
      <c r="E3">
        <v>696</v>
      </c>
      <c r="H3" s="9" t="s">
        <v>5</v>
      </c>
      <c r="I3" s="9"/>
    </row>
    <row r="4" spans="1:16" x14ac:dyDescent="0.3">
      <c r="A4">
        <v>0</v>
      </c>
      <c r="B4">
        <v>4</v>
      </c>
      <c r="C4">
        <v>1</v>
      </c>
      <c r="D4">
        <v>0</v>
      </c>
      <c r="E4">
        <v>301</v>
      </c>
      <c r="H4" t="s">
        <v>6</v>
      </c>
      <c r="I4">
        <v>0.66019789881993762</v>
      </c>
    </row>
    <row r="5" spans="1:16" x14ac:dyDescent="0.3">
      <c r="A5">
        <v>0</v>
      </c>
      <c r="B5">
        <v>4</v>
      </c>
      <c r="C5">
        <v>1</v>
      </c>
      <c r="D5">
        <v>1</v>
      </c>
      <c r="E5">
        <v>444</v>
      </c>
      <c r="H5" t="s">
        <v>7</v>
      </c>
      <c r="I5">
        <v>0.43586126560626054</v>
      </c>
    </row>
    <row r="6" spans="1:16" x14ac:dyDescent="0.3">
      <c r="A6">
        <v>0</v>
      </c>
      <c r="B6">
        <v>3</v>
      </c>
      <c r="C6">
        <v>0</v>
      </c>
      <c r="D6">
        <v>0</v>
      </c>
      <c r="E6">
        <v>646</v>
      </c>
      <c r="H6" t="s">
        <v>8</v>
      </c>
      <c r="I6">
        <v>0.28542426976793001</v>
      </c>
    </row>
    <row r="7" spans="1:16" x14ac:dyDescent="0.3">
      <c r="A7">
        <v>0</v>
      </c>
      <c r="B7">
        <v>3</v>
      </c>
      <c r="C7">
        <v>0</v>
      </c>
      <c r="D7">
        <v>1</v>
      </c>
      <c r="E7">
        <v>612</v>
      </c>
      <c r="H7" t="s">
        <v>9</v>
      </c>
      <c r="I7">
        <v>138.10435964754936</v>
      </c>
    </row>
    <row r="8" spans="1:16" ht="15" thickBot="1" x14ac:dyDescent="0.35">
      <c r="A8">
        <v>1</v>
      </c>
      <c r="B8">
        <v>2</v>
      </c>
      <c r="C8">
        <v>0</v>
      </c>
      <c r="D8">
        <v>0</v>
      </c>
      <c r="E8">
        <v>606</v>
      </c>
      <c r="H8" s="7" t="s">
        <v>10</v>
      </c>
      <c r="I8" s="7">
        <v>20</v>
      </c>
    </row>
    <row r="9" spans="1:16" x14ac:dyDescent="0.3">
      <c r="A9">
        <v>1</v>
      </c>
      <c r="B9">
        <v>1</v>
      </c>
      <c r="C9">
        <v>0</v>
      </c>
      <c r="D9">
        <v>0</v>
      </c>
      <c r="E9">
        <v>922</v>
      </c>
    </row>
    <row r="10" spans="1:16" ht="15" thickBot="1" x14ac:dyDescent="0.35">
      <c r="A10">
        <v>1</v>
      </c>
      <c r="B10">
        <v>3</v>
      </c>
      <c r="C10">
        <v>0</v>
      </c>
      <c r="D10">
        <v>0</v>
      </c>
      <c r="E10">
        <v>910</v>
      </c>
      <c r="H10" t="s">
        <v>11</v>
      </c>
    </row>
    <row r="11" spans="1:16" x14ac:dyDescent="0.3">
      <c r="A11">
        <v>1</v>
      </c>
      <c r="B11">
        <v>3</v>
      </c>
      <c r="C11">
        <v>1</v>
      </c>
      <c r="D11">
        <v>1</v>
      </c>
      <c r="E11">
        <v>559</v>
      </c>
      <c r="H11" s="8"/>
      <c r="I11" s="8" t="s">
        <v>15</v>
      </c>
      <c r="J11" s="8" t="s">
        <v>16</v>
      </c>
      <c r="K11" s="8" t="s">
        <v>17</v>
      </c>
      <c r="L11" s="8" t="s">
        <v>18</v>
      </c>
      <c r="M11" s="8" t="s">
        <v>19</v>
      </c>
    </row>
    <row r="12" spans="1:16" x14ac:dyDescent="0.3">
      <c r="A12">
        <v>0</v>
      </c>
      <c r="B12">
        <v>3</v>
      </c>
      <c r="C12">
        <v>0</v>
      </c>
      <c r="D12">
        <v>1</v>
      </c>
      <c r="E12">
        <v>943</v>
      </c>
      <c r="H12" t="s">
        <v>12</v>
      </c>
      <c r="I12">
        <v>4</v>
      </c>
      <c r="J12">
        <v>221038.73769510526</v>
      </c>
      <c r="K12">
        <v>55259.684423776314</v>
      </c>
      <c r="L12">
        <v>2.897301047374448</v>
      </c>
      <c r="M12">
        <v>5.8306427565176566E-2</v>
      </c>
    </row>
    <row r="13" spans="1:16" x14ac:dyDescent="0.3">
      <c r="A13">
        <v>1</v>
      </c>
      <c r="B13">
        <v>3</v>
      </c>
      <c r="C13">
        <v>0</v>
      </c>
      <c r="D13">
        <v>1</v>
      </c>
      <c r="E13">
        <v>596</v>
      </c>
      <c r="H13" t="s">
        <v>13</v>
      </c>
      <c r="I13">
        <v>15</v>
      </c>
      <c r="J13">
        <v>286092.21230489481</v>
      </c>
      <c r="K13">
        <v>19072.814153659656</v>
      </c>
    </row>
    <row r="14" spans="1:16" ht="15" thickBot="1" x14ac:dyDescent="0.35">
      <c r="A14">
        <v>1</v>
      </c>
      <c r="B14">
        <v>3</v>
      </c>
      <c r="C14">
        <v>1</v>
      </c>
      <c r="D14">
        <v>0</v>
      </c>
      <c r="E14">
        <v>688</v>
      </c>
      <c r="H14" s="7" t="s">
        <v>14</v>
      </c>
      <c r="I14" s="7">
        <v>19</v>
      </c>
      <c r="J14" s="7">
        <v>507130.95000000007</v>
      </c>
      <c r="K14" s="7"/>
      <c r="L14" s="7"/>
      <c r="M14" s="7"/>
    </row>
    <row r="15" spans="1:16" ht="15" thickBot="1" x14ac:dyDescent="0.35">
      <c r="A15">
        <v>1</v>
      </c>
      <c r="B15">
        <v>1</v>
      </c>
      <c r="C15">
        <v>0</v>
      </c>
      <c r="D15">
        <v>0</v>
      </c>
      <c r="E15">
        <v>867</v>
      </c>
    </row>
    <row r="16" spans="1:16" x14ac:dyDescent="0.3">
      <c r="A16">
        <v>0</v>
      </c>
      <c r="B16">
        <v>2</v>
      </c>
      <c r="C16">
        <v>1</v>
      </c>
      <c r="D16">
        <v>0</v>
      </c>
      <c r="E16">
        <v>602</v>
      </c>
      <c r="H16" s="8"/>
      <c r="I16" s="8" t="s">
        <v>20</v>
      </c>
      <c r="J16" s="8" t="s">
        <v>9</v>
      </c>
      <c r="K16" s="8" t="s">
        <v>21</v>
      </c>
      <c r="L16" s="8" t="s">
        <v>22</v>
      </c>
      <c r="M16" s="8" t="s">
        <v>23</v>
      </c>
      <c r="N16" s="8" t="s">
        <v>24</v>
      </c>
      <c r="O16" s="8" t="s">
        <v>25</v>
      </c>
      <c r="P16" s="8" t="s">
        <v>26</v>
      </c>
    </row>
    <row r="17" spans="1:16" x14ac:dyDescent="0.3">
      <c r="A17">
        <v>1</v>
      </c>
      <c r="B17">
        <v>3</v>
      </c>
      <c r="C17">
        <v>1</v>
      </c>
      <c r="D17">
        <v>1</v>
      </c>
      <c r="E17">
        <v>706</v>
      </c>
      <c r="H17" t="s">
        <v>3</v>
      </c>
      <c r="I17">
        <v>916.61350204576433</v>
      </c>
      <c r="J17">
        <v>122.691432058232</v>
      </c>
      <c r="K17">
        <v>7.470884369584339</v>
      </c>
      <c r="L17">
        <v>1.9792155374640766E-6</v>
      </c>
      <c r="M17">
        <v>655.10290494116782</v>
      </c>
      <c r="N17">
        <v>1178.124099150361</v>
      </c>
      <c r="O17">
        <v>655.10290494116782</v>
      </c>
      <c r="P17">
        <v>1178.124099150361</v>
      </c>
    </row>
    <row r="18" spans="1:16" x14ac:dyDescent="0.3">
      <c r="A18">
        <v>1</v>
      </c>
      <c r="B18">
        <v>4</v>
      </c>
      <c r="C18">
        <v>0</v>
      </c>
      <c r="D18">
        <v>0</v>
      </c>
      <c r="E18">
        <v>569</v>
      </c>
      <c r="H18" t="s">
        <v>27</v>
      </c>
      <c r="I18">
        <v>22.085088649795445</v>
      </c>
      <c r="J18">
        <v>65.87108765723454</v>
      </c>
      <c r="K18">
        <v>0.33527742497158947</v>
      </c>
      <c r="L18">
        <v>0.74205888874928427</v>
      </c>
      <c r="M18">
        <v>-118.31581120274518</v>
      </c>
      <c r="N18">
        <v>162.48598850233606</v>
      </c>
      <c r="O18">
        <v>-118.31581120274518</v>
      </c>
      <c r="P18">
        <v>162.48598850233606</v>
      </c>
    </row>
    <row r="19" spans="1:16" x14ac:dyDescent="0.3">
      <c r="A19">
        <v>0</v>
      </c>
      <c r="B19">
        <v>2</v>
      </c>
      <c r="C19">
        <v>0</v>
      </c>
      <c r="D19">
        <v>0</v>
      </c>
      <c r="E19">
        <v>664</v>
      </c>
      <c r="H19" t="s">
        <v>28</v>
      </c>
      <c r="I19">
        <v>-81.8884679496893</v>
      </c>
      <c r="J19">
        <v>38.505875906008065</v>
      </c>
      <c r="K19">
        <v>-2.1266486223966732</v>
      </c>
      <c r="L19">
        <v>5.0455657105097869E-2</v>
      </c>
      <c r="M19">
        <v>-163.96179965093125</v>
      </c>
      <c r="N19">
        <v>0.18486375155264057</v>
      </c>
      <c r="O19">
        <v>-163.96179965093125</v>
      </c>
      <c r="P19">
        <v>0.18486375155264057</v>
      </c>
    </row>
    <row r="20" spans="1:16" x14ac:dyDescent="0.3">
      <c r="A20">
        <v>1</v>
      </c>
      <c r="B20">
        <v>4</v>
      </c>
      <c r="C20">
        <v>0</v>
      </c>
      <c r="D20">
        <v>1</v>
      </c>
      <c r="E20">
        <v>593</v>
      </c>
      <c r="H20" t="s">
        <v>32</v>
      </c>
      <c r="I20">
        <v>-123.16449462039705</v>
      </c>
      <c r="J20">
        <v>66.612828865398171</v>
      </c>
      <c r="K20">
        <v>-1.8489605788889483</v>
      </c>
      <c r="L20">
        <v>8.4269777098178081E-2</v>
      </c>
      <c r="M20">
        <v>-265.14637843400101</v>
      </c>
      <c r="N20">
        <v>18.817389193206878</v>
      </c>
      <c r="O20">
        <v>-265.14637843400101</v>
      </c>
      <c r="P20">
        <v>18.817389193206878</v>
      </c>
    </row>
    <row r="21" spans="1:16" ht="15" thickBot="1" x14ac:dyDescent="0.35">
      <c r="A21">
        <v>1</v>
      </c>
      <c r="B21">
        <v>3</v>
      </c>
      <c r="C21">
        <v>1</v>
      </c>
      <c r="D21">
        <v>1</v>
      </c>
      <c r="E21">
        <v>530</v>
      </c>
      <c r="H21" s="7" t="s">
        <v>30</v>
      </c>
      <c r="I21" s="7">
        <v>-2.7342779208971453</v>
      </c>
      <c r="J21" s="7">
        <v>67.688860838857508</v>
      </c>
      <c r="K21" s="7">
        <v>-4.0394798893225045E-2</v>
      </c>
      <c r="L21" s="7">
        <v>0.96831113827958015</v>
      </c>
      <c r="M21" s="7">
        <v>-147.00966959533878</v>
      </c>
      <c r="N21" s="7">
        <v>141.54111375354449</v>
      </c>
      <c r="O21" s="7">
        <v>-147.00966959533878</v>
      </c>
      <c r="P21" s="7">
        <v>141.54111375354449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 1</vt:lpstr>
      <vt:lpstr>Activity 2</vt:lpstr>
      <vt:lpstr>Activity 3</vt:lpstr>
      <vt:lpstr>Activity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Rudd</dc:creator>
  <cp:lastModifiedBy>Jessie Rudd</cp:lastModifiedBy>
  <dcterms:created xsi:type="dcterms:W3CDTF">2023-07-24T10:55:44Z</dcterms:created>
  <dcterms:modified xsi:type="dcterms:W3CDTF">2024-11-04T13:47:37Z</dcterms:modified>
</cp:coreProperties>
</file>