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cd\OneDrive\Documents\DA 1\CA Quiz Questions\SPF\SPF Module 2 Quiz Questions\"/>
    </mc:Choice>
  </mc:AlternateContent>
  <xr:revisionPtr revIDLastSave="0" documentId="8_{001F579E-E600-4E1C-8950-34EB86511712}" xr6:coauthVersionLast="47" xr6:coauthVersionMax="47" xr10:uidLastSave="{00000000-0000-0000-0000-000000000000}"/>
  <bookViews>
    <workbookView xWindow="28692" yWindow="-108" windowWidth="29016" windowHeight="15696" xr2:uid="{95B5EC88-0CC7-4507-8AB2-0F7061FDA3F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4" i="1"/>
  <c r="B32" i="1"/>
  <c r="B30" i="1"/>
  <c r="B28" i="1"/>
  <c r="B26" i="1"/>
  <c r="B24" i="1"/>
</calcChain>
</file>

<file path=xl/sharedStrings.xml><?xml version="1.0" encoding="utf-8"?>
<sst xmlns="http://schemas.openxmlformats.org/spreadsheetml/2006/main" count="26" uniqueCount="25">
  <si>
    <t>Order ID</t>
  </si>
  <si>
    <t>Customer Name</t>
  </si>
  <si>
    <t>Order Date</t>
  </si>
  <si>
    <t>Order Time</t>
  </si>
  <si>
    <t>Order Amount</t>
  </si>
  <si>
    <t>Time Slot</t>
  </si>
  <si>
    <t>John Smith</t>
  </si>
  <si>
    <t>Jane Doe</t>
  </si>
  <si>
    <t>David Johnson</t>
  </si>
  <si>
    <t>Mary Davis</t>
  </si>
  <si>
    <t>Robert Brown</t>
  </si>
  <si>
    <t>Sarah White</t>
  </si>
  <si>
    <t>Michael Lee</t>
  </si>
  <si>
    <t>Linda Harris</t>
  </si>
  <si>
    <t>William Clark</t>
  </si>
  <si>
    <t>Susan Turner</t>
  </si>
  <si>
    <t>Richard Adams</t>
  </si>
  <si>
    <t>Karen Martinez</t>
  </si>
  <si>
    <t>James Walker</t>
  </si>
  <si>
    <t>Patricia Hall</t>
  </si>
  <si>
    <t>Charles Turner</t>
  </si>
  <si>
    <t>Jennifer Lewis</t>
  </si>
  <si>
    <t>Thomas Davis</t>
  </si>
  <si>
    <t>Nancy Scott</t>
  </si>
  <si>
    <t>Daniel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</si>
</sst>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$&quot;_-;\-* #,##0.00\ &quot;$&quot;_-;_-* &quot;-&quot;??\ &quot;$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D0F"/>
      <name val="Inter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8" fontId="0" fillId="0" borderId="0" xfId="0" applyNumberFormat="1" applyAlignment="1">
      <alignment vertical="center"/>
    </xf>
    <xf numFmtId="2" fontId="0" fillId="0" borderId="0" xfId="1" applyNumberFormat="1" applyFont="1" applyAlignment="1">
      <alignment vertical="center"/>
    </xf>
    <xf numFmtId="2" fontId="0" fillId="0" borderId="0" xfId="0" applyNumberFormat="1" applyAlignment="1">
      <alignment vertical="center"/>
    </xf>
    <xf numFmtId="0" fontId="2" fillId="0" borderId="0" xfId="0" applyFont="1"/>
    <xf numFmtId="0" fontId="3" fillId="0" borderId="0" xfId="0" applyFont="1"/>
    <xf numFmtId="14" fontId="3" fillId="0" borderId="0" xfId="0" applyNumberFormat="1" applyFont="1"/>
    <xf numFmtId="2" fontId="3" fillId="0" borderId="0" xfId="0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A3D8D-84BB-4FC9-88F5-3B220744A855}">
  <dimension ref="A1:F36"/>
  <sheetViews>
    <sheetView tabSelected="1" workbookViewId="0">
      <selection activeCell="B36" sqref="B36"/>
    </sheetView>
  </sheetViews>
  <sheetFormatPr defaultColWidth="8.7109375" defaultRowHeight="14.45"/>
  <cols>
    <col min="1" max="1" width="8.28515625" bestFit="1" customWidth="1"/>
    <col min="2" max="2" width="15" bestFit="1" customWidth="1"/>
    <col min="3" max="3" width="10.5703125" bestFit="1" customWidth="1"/>
    <col min="4" max="4" width="10.7109375" bestFit="1" customWidth="1"/>
    <col min="5" max="5" width="13.42578125" bestFit="1" customWidth="1"/>
    <col min="6" max="6" width="9.7109375" bestFit="1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>
      <c r="A2" s="1">
        <v>1</v>
      </c>
      <c r="B2" s="1" t="s">
        <v>6</v>
      </c>
      <c r="C2" s="2">
        <v>45200</v>
      </c>
      <c r="D2" s="3">
        <v>0.39583333333333331</v>
      </c>
      <c r="E2" s="4">
        <v>100.5</v>
      </c>
    </row>
    <row r="3" spans="1:6">
      <c r="A3" s="1">
        <v>2</v>
      </c>
      <c r="B3" s="1" t="s">
        <v>7</v>
      </c>
      <c r="C3" s="2">
        <v>45201</v>
      </c>
      <c r="D3" s="3">
        <v>0.59375</v>
      </c>
      <c r="E3" s="5">
        <v>75.25</v>
      </c>
    </row>
    <row r="4" spans="1:6">
      <c r="A4" s="1">
        <v>3</v>
      </c>
      <c r="B4" s="1" t="s">
        <v>8</v>
      </c>
      <c r="C4" s="2">
        <v>45202</v>
      </c>
      <c r="D4" s="3">
        <v>0.48958333333333331</v>
      </c>
      <c r="E4" s="5">
        <v>120.75</v>
      </c>
    </row>
    <row r="5" spans="1:6">
      <c r="A5" s="1">
        <v>4</v>
      </c>
      <c r="B5" s="1" t="s">
        <v>9</v>
      </c>
      <c r="C5" s="2">
        <v>45203</v>
      </c>
      <c r="D5" s="3">
        <v>0.66666666666666663</v>
      </c>
      <c r="E5" s="5">
        <v>90.3</v>
      </c>
    </row>
    <row r="6" spans="1:6">
      <c r="A6" s="1">
        <v>5</v>
      </c>
      <c r="B6" s="1" t="s">
        <v>10</v>
      </c>
      <c r="C6" s="2">
        <v>45204</v>
      </c>
      <c r="D6" s="3">
        <v>0.54166666666666663</v>
      </c>
      <c r="E6" s="5">
        <v>150.80000000000001</v>
      </c>
    </row>
    <row r="7" spans="1:6">
      <c r="A7" s="1">
        <v>6</v>
      </c>
      <c r="B7" s="1" t="s">
        <v>11</v>
      </c>
      <c r="C7" s="2">
        <v>45205</v>
      </c>
      <c r="D7" s="3">
        <v>0.4375</v>
      </c>
      <c r="E7" s="5">
        <v>65.45</v>
      </c>
    </row>
    <row r="8" spans="1:6">
      <c r="A8" s="1">
        <v>7</v>
      </c>
      <c r="B8" s="1" t="s">
        <v>12</v>
      </c>
      <c r="C8" s="2">
        <v>45206</v>
      </c>
      <c r="D8" s="3">
        <v>0.63888888888888895</v>
      </c>
      <c r="E8" s="5">
        <v>110.6</v>
      </c>
    </row>
    <row r="9" spans="1:6">
      <c r="A9" s="1">
        <v>8</v>
      </c>
      <c r="B9" s="1" t="s">
        <v>13</v>
      </c>
      <c r="C9" s="2">
        <v>45207</v>
      </c>
      <c r="D9" s="3">
        <v>0.51041666666666663</v>
      </c>
      <c r="E9" s="5">
        <v>95.1</v>
      </c>
    </row>
    <row r="10" spans="1:6">
      <c r="A10" s="1">
        <v>9</v>
      </c>
      <c r="B10" s="1" t="s">
        <v>14</v>
      </c>
      <c r="C10" s="2">
        <v>45208</v>
      </c>
      <c r="D10" s="3">
        <v>0.40625</v>
      </c>
      <c r="E10" s="5">
        <v>130.25</v>
      </c>
    </row>
    <row r="11" spans="1:6">
      <c r="A11" s="1">
        <v>10</v>
      </c>
      <c r="B11" s="1" t="s">
        <v>15</v>
      </c>
      <c r="C11" s="2">
        <v>45209</v>
      </c>
      <c r="D11" s="3">
        <v>0.58333333333333337</v>
      </c>
      <c r="E11" s="5">
        <v>85.75</v>
      </c>
    </row>
    <row r="12" spans="1:6">
      <c r="A12" s="1">
        <v>11</v>
      </c>
      <c r="B12" s="1" t="s">
        <v>16</v>
      </c>
      <c r="C12" s="2">
        <v>45210</v>
      </c>
      <c r="D12" s="3">
        <v>0.45833333333333331</v>
      </c>
      <c r="E12" s="5">
        <v>115.9</v>
      </c>
    </row>
    <row r="13" spans="1:6">
      <c r="A13" s="1">
        <v>12</v>
      </c>
      <c r="B13" s="1" t="s">
        <v>17</v>
      </c>
      <c r="C13" s="2">
        <v>45211</v>
      </c>
      <c r="D13" s="3">
        <v>0.6875</v>
      </c>
      <c r="E13" s="5">
        <v>70.2</v>
      </c>
    </row>
    <row r="14" spans="1:6">
      <c r="A14" s="1">
        <v>13</v>
      </c>
      <c r="B14" s="1" t="s">
        <v>18</v>
      </c>
      <c r="C14" s="2">
        <v>45212</v>
      </c>
      <c r="D14" s="3">
        <v>0.63194444444444442</v>
      </c>
      <c r="E14" s="5">
        <v>140.6</v>
      </c>
    </row>
    <row r="15" spans="1:6">
      <c r="A15" s="1">
        <v>14</v>
      </c>
      <c r="B15" s="1" t="s">
        <v>19</v>
      </c>
      <c r="C15" s="2">
        <v>45213</v>
      </c>
      <c r="D15" s="3">
        <v>0.57291666666666663</v>
      </c>
      <c r="E15" s="5">
        <v>75.400000000000006</v>
      </c>
    </row>
    <row r="16" spans="1:6">
      <c r="A16" s="1">
        <v>15</v>
      </c>
      <c r="B16" s="1" t="s">
        <v>20</v>
      </c>
      <c r="C16" s="2">
        <v>45214</v>
      </c>
      <c r="D16" s="3">
        <v>0.43055555555555558</v>
      </c>
      <c r="E16" s="5">
        <v>105.25</v>
      </c>
    </row>
    <row r="17" spans="1:5">
      <c r="A17" s="1">
        <v>16</v>
      </c>
      <c r="B17" s="1" t="s">
        <v>21</v>
      </c>
      <c r="C17" s="2">
        <v>45215</v>
      </c>
      <c r="D17" s="3">
        <v>0.5</v>
      </c>
      <c r="E17" s="5">
        <v>80.150000000000006</v>
      </c>
    </row>
    <row r="18" spans="1:5">
      <c r="A18" s="1">
        <v>17</v>
      </c>
      <c r="B18" s="1" t="s">
        <v>22</v>
      </c>
      <c r="C18" s="2">
        <v>45216</v>
      </c>
      <c r="D18" s="3">
        <v>0.61458333333333337</v>
      </c>
      <c r="E18" s="5">
        <v>125.8</v>
      </c>
    </row>
    <row r="19" spans="1:5">
      <c r="A19" s="1">
        <v>18</v>
      </c>
      <c r="B19" s="1" t="s">
        <v>23</v>
      </c>
      <c r="C19" s="2">
        <v>45217</v>
      </c>
      <c r="D19" s="3">
        <v>0.38541666666666669</v>
      </c>
      <c r="E19" s="5">
        <v>70.900000000000006</v>
      </c>
    </row>
    <row r="20" spans="1:5">
      <c r="A20" s="1">
        <v>19</v>
      </c>
      <c r="B20" s="1" t="s">
        <v>24</v>
      </c>
      <c r="C20" s="2">
        <v>45218</v>
      </c>
      <c r="D20" s="3">
        <v>0.47916666666666669</v>
      </c>
      <c r="E20" s="5">
        <v>135.4</v>
      </c>
    </row>
    <row r="21" spans="1:5">
      <c r="A21" s="1">
        <v>20</v>
      </c>
      <c r="B21" s="1" t="s">
        <v>15</v>
      </c>
      <c r="C21" s="2">
        <v>45219</v>
      </c>
      <c r="D21" s="3">
        <v>0.64583333333333337</v>
      </c>
      <c r="E21" s="5">
        <v>90.75</v>
      </c>
    </row>
    <row r="24" spans="1:5" ht="15">
      <c r="B24" s="8">
        <f>C6+A4</f>
        <v>45207</v>
      </c>
    </row>
    <row r="26" spans="1:5" ht="15">
      <c r="B26" s="7" t="str">
        <f>IF(D9&lt;TIME(12,0,0),"Morning","Afternoon")</f>
        <v>Afternoon</v>
      </c>
    </row>
    <row r="28" spans="1:5" ht="15">
      <c r="B28" s="9">
        <f>ROUND(E17,0)</f>
        <v>80</v>
      </c>
    </row>
    <row r="30" spans="1:5" ht="15">
      <c r="B30" s="7">
        <f>LEN(B8)</f>
        <v>11</v>
      </c>
    </row>
    <row r="32" spans="1:5" ht="15">
      <c r="B32" s="7" t="str">
        <f>LEFT(B13,1)&amp;" "&amp;MID(B13,FIND(" ",B13)+1,LEN(B13))</f>
        <v>K Martinez</v>
      </c>
    </row>
    <row r="34" spans="2:2" ht="15">
      <c r="B34" s="7" t="str">
        <f>IF(C12&lt;=DATE(2023,10,10),"On Time","Delayed")</f>
        <v>Delayed</v>
      </c>
    </row>
    <row r="36" spans="2:2" ht="15">
      <c r="B36" s="7">
        <f>IF(E6&gt;=100,E6*10%,0)</f>
        <v>15.080000000000002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Alec Du Plessis</dc:creator>
  <cp:keywords/>
  <dc:description/>
  <cp:lastModifiedBy/>
  <cp:revision/>
  <dcterms:created xsi:type="dcterms:W3CDTF">2023-10-02T06:38:41Z</dcterms:created>
  <dcterms:modified xsi:type="dcterms:W3CDTF">2026-02-19T03:12:32Z</dcterms:modified>
  <cp:category/>
  <cp:contentStatus/>
</cp:coreProperties>
</file>