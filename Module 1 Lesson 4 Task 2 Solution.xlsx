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4/Task/"/>
    </mc:Choice>
  </mc:AlternateContent>
  <xr:revisionPtr revIDLastSave="0" documentId="8_{26D42B54-34CA-48C1-8A7F-1D549092EF0A}" xr6:coauthVersionLast="47" xr6:coauthVersionMax="47" xr10:uidLastSave="{00000000-0000-0000-0000-000000000000}"/>
  <bookViews>
    <workbookView xWindow="-108" yWindow="-108" windowWidth="23256" windowHeight="12456" xr2:uid="{6CFBA377-3997-4E32-94CF-AE0AD2231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E18" i="1"/>
  <c r="F17" i="1"/>
  <c r="E17" i="1"/>
  <c r="F16" i="1"/>
  <c r="E16" i="1"/>
  <c r="F15" i="1"/>
  <c r="E15" i="1"/>
  <c r="D16" i="1"/>
  <c r="C16" i="1"/>
  <c r="D15" i="1"/>
  <c r="C15" i="1"/>
  <c r="J2" i="1" a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<sst xmlns="http://schemas.openxmlformats.org/spreadsheetml/2006/main" count="8" uniqueCount="6">
  <si>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Age</t>
  </si>
  <si>
    <t>Price_Eur</t>
  </si>
  <si>
    <t>Slope</t>
  </si>
  <si>
    <t>Intercept</t>
  </si>
  <si>
    <t>Price_Eur_Prediction</t>
  </si>
  <si>
    <t>Price_Eur_Prediction2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</si>
</sst>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58B82-5BF1-4DF6-BDDE-37E8C2C6CC6B}">
  <dimension ref="A1:K18"/>
  <sheetViews>
    <sheetView tabSelected="1" workbookViewId="0">
      <selection activeCell="E17" sqref="E17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4</v>
      </c>
      <c r="D1" t="s">
        <v>5</v>
      </c>
      <c r="E1" t="s">
        <v>4</v>
      </c>
      <c r="F1" t="s">
        <v>5</v>
      </c>
      <c r="J1" t="s">
        <v>2</v>
      </c>
      <c r="K1" t="s">
        <v>3</v>
      </c>
    </row>
    <row r="2" spans="1:11" x14ac:dyDescent="0.3">
      <c r="A2" s="1">
        <v>34</v>
      </c>
      <c r="B2" s="2">
        <v>2914.3510000000001</v>
      </c>
      <c r="C2" s="2">
        <v>2914.3510000000001</v>
      </c>
      <c r="D2" s="2">
        <v>2914.3510000000001</v>
      </c>
      <c r="E2" s="2">
        <v>2914.3510000000001</v>
      </c>
      <c r="F2" s="2">
        <v>2914.3510000000001</v>
      </c>
      <c r="J2" s="3" cm="1">
        <f t="array" ref="J2:K2">LINEST($B$2:$B$14,$A$2:$A$14)</f>
        <v>22.23709335873707</v>
      </c>
      <c r="K2">
        <v>1574.0014338595533</v>
      </c>
    </row>
    <row r="3" spans="1:11" x14ac:dyDescent="0.3">
      <c r="A3" s="1">
        <v>33</v>
      </c>
      <c r="B3" s="2">
        <v>1927.2819999999999</v>
      </c>
      <c r="C3" s="2">
        <v>1927.2819999999999</v>
      </c>
      <c r="D3" s="2">
        <v>1927.2819999999999</v>
      </c>
      <c r="E3" s="2">
        <v>1927.2819999999999</v>
      </c>
      <c r="F3" s="2">
        <v>1927.2819999999999</v>
      </c>
    </row>
    <row r="4" spans="1:11" x14ac:dyDescent="0.3">
      <c r="A4" s="1">
        <v>51</v>
      </c>
      <c r="B4" s="2">
        <v>2579.3090000000002</v>
      </c>
      <c r="C4" s="2">
        <v>2579.3090000000002</v>
      </c>
      <c r="D4" s="2">
        <v>2579.3090000000002</v>
      </c>
      <c r="E4" s="2">
        <v>2579.3090000000002</v>
      </c>
      <c r="F4" s="2">
        <v>2579.3090000000002</v>
      </c>
    </row>
    <row r="5" spans="1:11" x14ac:dyDescent="0.3">
      <c r="A5" s="1">
        <v>29</v>
      </c>
      <c r="B5" s="2">
        <v>3096.308</v>
      </c>
      <c r="C5" s="2">
        <v>3096.308</v>
      </c>
      <c r="D5" s="2">
        <v>3096.308</v>
      </c>
      <c r="E5" s="2">
        <v>3096.308</v>
      </c>
      <c r="F5" s="2">
        <v>3096.308</v>
      </c>
    </row>
    <row r="6" spans="1:11" x14ac:dyDescent="0.3">
      <c r="A6" s="1">
        <v>26</v>
      </c>
      <c r="B6" s="2">
        <v>1999.3309999999999</v>
      </c>
      <c r="C6" s="2">
        <v>1999.3309999999999</v>
      </c>
      <c r="D6" s="2">
        <v>1999.3309999999999</v>
      </c>
      <c r="E6" s="2">
        <v>1999.3309999999999</v>
      </c>
      <c r="F6" s="2">
        <v>1999.3309999999999</v>
      </c>
    </row>
    <row r="7" spans="1:11" x14ac:dyDescent="0.3">
      <c r="A7" s="1">
        <v>53</v>
      </c>
      <c r="B7" s="2">
        <v>1927.2819999999999</v>
      </c>
      <c r="C7" s="2">
        <v>1927.2819999999999</v>
      </c>
      <c r="D7" s="2">
        <v>1927.2819999999999</v>
      </c>
      <c r="E7" s="2">
        <v>1927.2819999999999</v>
      </c>
      <c r="F7" s="2">
        <v>1927.2819999999999</v>
      </c>
    </row>
    <row r="8" spans="1:11" x14ac:dyDescent="0.3">
      <c r="A8" s="1">
        <v>55</v>
      </c>
      <c r="B8" s="2">
        <v>3440.3539999999998</v>
      </c>
      <c r="C8" s="2">
        <v>3440.3539999999998</v>
      </c>
      <c r="D8" s="2">
        <v>3440.3539999999998</v>
      </c>
      <c r="E8" s="2">
        <v>3440.3539999999998</v>
      </c>
      <c r="F8" s="2">
        <v>3440.3539999999998</v>
      </c>
    </row>
    <row r="9" spans="1:11" x14ac:dyDescent="0.3">
      <c r="A9" s="1">
        <v>45</v>
      </c>
      <c r="B9" s="2">
        <v>3096.308</v>
      </c>
      <c r="C9" s="2">
        <v>3096.308</v>
      </c>
      <c r="D9" s="2">
        <v>3096.308</v>
      </c>
      <c r="E9" s="2">
        <v>3096.308</v>
      </c>
      <c r="F9" s="2">
        <v>3096.308</v>
      </c>
    </row>
    <row r="10" spans="1:11" x14ac:dyDescent="0.3">
      <c r="A10" s="1">
        <v>33</v>
      </c>
      <c r="B10" s="2">
        <v>1664.248</v>
      </c>
      <c r="C10" s="2">
        <v>1664.248</v>
      </c>
      <c r="D10" s="2">
        <v>1664.248</v>
      </c>
      <c r="E10" s="2">
        <v>1664.248</v>
      </c>
      <c r="F10" s="2">
        <v>1664.248</v>
      </c>
    </row>
    <row r="11" spans="1:11" x14ac:dyDescent="0.3">
      <c r="A11" s="1">
        <v>54</v>
      </c>
      <c r="B11" s="2">
        <v>3414.1930000000002</v>
      </c>
      <c r="C11" s="2">
        <v>3414.1930000000002</v>
      </c>
      <c r="D11" s="2">
        <v>3414.1930000000002</v>
      </c>
      <c r="E11" s="2">
        <v>3414.1930000000002</v>
      </c>
      <c r="F11" s="2">
        <v>3414.1930000000002</v>
      </c>
    </row>
    <row r="12" spans="1:11" x14ac:dyDescent="0.3">
      <c r="A12" s="1">
        <v>52</v>
      </c>
      <c r="B12" s="2">
        <v>1922.318</v>
      </c>
      <c r="C12" s="2">
        <v>1922.318</v>
      </c>
      <c r="D12" s="2">
        <v>1922.318</v>
      </c>
      <c r="E12" s="2">
        <v>1922.318</v>
      </c>
      <c r="F12" s="2">
        <v>1922.318</v>
      </c>
    </row>
    <row r="13" spans="1:11" x14ac:dyDescent="0.3">
      <c r="A13" s="1">
        <v>27</v>
      </c>
      <c r="B13" s="2">
        <v>2077.2310000000002</v>
      </c>
      <c r="C13" s="2">
        <v>2077.2310000000002</v>
      </c>
      <c r="D13" s="2">
        <v>2077.2310000000002</v>
      </c>
      <c r="E13" s="2">
        <v>2077.2310000000002</v>
      </c>
      <c r="F13" s="2">
        <v>2077.2310000000002</v>
      </c>
    </row>
    <row r="14" spans="1:11" x14ac:dyDescent="0.3">
      <c r="A14" s="1">
        <v>26</v>
      </c>
      <c r="B14" s="2">
        <v>1922.318</v>
      </c>
      <c r="C14" s="2">
        <v>1922.318</v>
      </c>
      <c r="D14" s="2">
        <v>1922.318</v>
      </c>
      <c r="E14" s="2">
        <v>1922.318</v>
      </c>
      <c r="F14" s="2">
        <v>1922.318</v>
      </c>
    </row>
    <row r="15" spans="1:11" x14ac:dyDescent="0.3">
      <c r="A15" s="1">
        <v>28</v>
      </c>
      <c r="C15">
        <f>$K$2+$J$2*$A15</f>
        <v>2196.6400479041913</v>
      </c>
      <c r="D15">
        <f>_xlfn.FORECAST.LINEAR($A15,$B$2:$B$14,$A$2:$A$14)</f>
        <v>2196.6400479041913</v>
      </c>
      <c r="E15">
        <f>$K$2+$J$2*$A15</f>
        <v>2196.6400479041913</v>
      </c>
      <c r="F15">
        <f>_xlfn.FORECAST.LINEAR($A15,$B$2:$B$14,$A$2:$A$14)</f>
        <v>2196.6400479041913</v>
      </c>
    </row>
    <row r="16" spans="1:11" x14ac:dyDescent="0.3">
      <c r="A16" s="1">
        <v>35</v>
      </c>
      <c r="C16">
        <f>$K$2+$J$2*$A16</f>
        <v>2352.2997014153507</v>
      </c>
      <c r="D16">
        <f>_xlfn.FORECAST.LINEAR($A16,$B$2:$B$14,$A$2:$A$14)</f>
        <v>2352.2997014153507</v>
      </c>
      <c r="E16">
        <f>$K$2+$J$2*$A16</f>
        <v>2352.2997014153507</v>
      </c>
      <c r="F16">
        <f>_xlfn.FORECAST.LINEAR($A16,$B$2:$B$14,$A$2:$A$14)</f>
        <v>2352.2997014153507</v>
      </c>
    </row>
    <row r="17" spans="1:6" x14ac:dyDescent="0.3">
      <c r="A17" s="1">
        <v>24</v>
      </c>
      <c r="E17">
        <f t="shared" ref="E17:E18" si="0">$K$2+$J$2*$A17</f>
        <v>2107.691674469243</v>
      </c>
      <c r="F17">
        <f>_xlfn.FORECAST.LINEAR($A17,$B$2:$B$14,$A$2:$A$14)</f>
        <v>2107.691674469243</v>
      </c>
    </row>
    <row r="18" spans="1:6" x14ac:dyDescent="0.3">
      <c r="A18" s="1">
        <v>63</v>
      </c>
      <c r="E18">
        <f t="shared" si="0"/>
        <v>2974.9383154599886</v>
      </c>
      <c r="F18">
        <f>_xlfn.FORECAST.LINEAR($A18,$B$2:$B$14,$A$2:$A$14)</f>
        <v>2974.9383154599886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2023-07-24T13:43:08Z</dcterms:created>
  <dcterms:modified xsi:type="dcterms:W3CDTF">2023-07-24T13:48:48Z</dcterms:modified>
</cp:coreProperties>
</file>