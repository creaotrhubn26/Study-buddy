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roff-my.sharepoint.com/personal/jessie_rudd_noroff_no/Documents/DA Year 1/STS Rewrite/STS - M1L2/"/>
    </mc:Choice>
  </mc:AlternateContent>
  <xr:revisionPtr revIDLastSave="0" documentId="8_{4880AB99-1D7F-459D-8EC8-C6014A025BDE}" xr6:coauthVersionLast="47" xr6:coauthVersionMax="47" xr10:uidLastSave="{00000000-0000-0000-0000-000000000000}"/>
  <bookViews>
    <workbookView xWindow="-108" yWindow="-108" windowWidth="23256" windowHeight="12456" activeTab="1" xr2:uid="{52F5FDE0-F91E-4D3D-B5B4-E7AEEC04544A}"/>
  </bookViews>
  <sheets>
    <sheet name="NPER,RATE,PMT,FV,PV" sheetId="1" r:id="rId1"/>
    <sheet name="IRR and NPV Function" sheetId="5" r:id="rId2"/>
    <sheet name="LAMDA,Name Manager,LET" sheetId="6" r:id="rId3"/>
    <sheet name="IPMT Function" sheetId="3" r:id="rId4"/>
    <sheet name="Byrow and Bycol" sheetId="7" r:id="rId5"/>
    <sheet name="IFERROR AND IFNA" sheetId="8" r:id="rId6"/>
  </sheets>
  <definedNames>
    <definedName name="MyFirstNamedFunction">_xlfn.LAMBDA(_xlpm.x,(_xlpm.x/2+1)^3)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5" l="1"/>
  <c r="B9" i="5"/>
  <c r="J4" i="1"/>
  <c r="J3" i="1" s="1"/>
  <c r="F5" i="1"/>
  <c r="B8" i="1"/>
  <c r="B9" i="1"/>
  <c r="D3" i="8"/>
  <c r="H3" i="8"/>
  <c r="G3" i="8"/>
  <c r="F3" i="8"/>
  <c r="E3" i="8"/>
  <c r="C3" i="8"/>
  <c r="H2" i="8"/>
  <c r="G2" i="8"/>
  <c r="F2" i="8"/>
  <c r="E2" i="8"/>
  <c r="D2" i="8"/>
  <c r="C2" i="8"/>
  <c r="B3" i="8"/>
  <c r="B2" i="8"/>
  <c r="B8" i="7" a="1"/>
  <c r="B8" i="7" s="1"/>
  <c r="D2" i="7" a="1"/>
  <c r="D2" i="7" s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3" i="6"/>
  <c r="D4" i="6" a="1"/>
  <c r="D4" i="6" s="1"/>
  <c r="D5" i="6" a="1"/>
  <c r="D5" i="6" s="1"/>
  <c r="D6" i="6" a="1"/>
  <c r="D6" i="6" s="1"/>
  <c r="D7" i="6" a="1"/>
  <c r="D7" i="6" s="1"/>
  <c r="D8" i="6" a="1"/>
  <c r="D8" i="6" s="1"/>
  <c r="D9" i="6" a="1"/>
  <c r="D9" i="6" s="1"/>
  <c r="D10" i="6" a="1"/>
  <c r="D10" i="6" s="1"/>
  <c r="D11" i="6" a="1"/>
  <c r="D11" i="6" s="1"/>
  <c r="D12" i="6" a="1"/>
  <c r="D12" i="6" s="1"/>
  <c r="D13" i="6" a="1"/>
  <c r="D13" i="6" s="1"/>
  <c r="D14" i="6" a="1"/>
  <c r="D14" i="6" s="1"/>
  <c r="D15" i="6" a="1"/>
  <c r="D15" i="6" s="1"/>
  <c r="D16" i="6" a="1"/>
  <c r="D16" i="6" s="1"/>
  <c r="D3" i="6" a="1"/>
  <c r="D3" i="6" s="1"/>
  <c r="B4" i="6" a="1"/>
  <c r="B4" i="6" s="1"/>
  <c r="B5" i="6" a="1"/>
  <c r="B5" i="6" s="1"/>
  <c r="B6" i="6" a="1"/>
  <c r="B6" i="6" s="1"/>
  <c r="B7" i="6" a="1"/>
  <c r="B7" i="6" s="1"/>
  <c r="B8" i="6" a="1"/>
  <c r="B8" i="6" s="1"/>
  <c r="B9" i="6" a="1"/>
  <c r="B9" i="6" s="1"/>
  <c r="B10" i="6" a="1"/>
  <c r="B10" i="6" s="1"/>
  <c r="B11" i="6" a="1"/>
  <c r="B11" i="6" s="1"/>
  <c r="B12" i="6" a="1"/>
  <c r="B12" i="6" s="1"/>
  <c r="B13" i="6" a="1"/>
  <c r="B13" i="6" s="1"/>
  <c r="B14" i="6" a="1"/>
  <c r="B14" i="6" s="1"/>
  <c r="B15" i="6" a="1"/>
  <c r="B15" i="6" s="1"/>
  <c r="B16" i="6" a="1"/>
  <c r="B16" i="6" s="1"/>
  <c r="B3" i="6" a="1"/>
  <c r="B3" i="6" s="1"/>
  <c r="G3" i="3"/>
  <c r="G4" i="3" s="1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3" i="3"/>
  <c r="N4" i="1"/>
  <c r="N8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18D33C-5DC7-4F99-9842-0480E9F81144}" keepAlive="1" name="Query - used_cars" description="Connection to the 'used_cars' query in the workbook." type="5" refreshedVersion="0" background="1">
    <dbPr connection="Provider=Microsoft.Mashup.OleDb.1;Data Source=$Workbook$;Location=used_cars;Extended Properties=&quot;&quot;" command="SELECT * FROM [used_car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<sst xmlns="http://schemas.openxmlformats.org/spreadsheetml/2006/main" count="90" uniqueCount="62">
  <si>
    <t>Annual interest rate</t>
  </si>
  <si>
    <t xml:space="preserve">Monthly interest </t>
  </si>
  <si>
    <t>Number of Monthly repayments</t>
  </si>
  <si>
    <t>Initial value of loan</t>
  </si>
  <si>
    <t>=B1/12</t>
  </si>
  <si>
    <t>=2*12</t>
  </si>
  <si>
    <t>PMT Function</t>
  </si>
  <si>
    <t>Formulas</t>
  </si>
  <si>
    <t>Repayment amount</t>
  </si>
  <si>
    <t>=RATE(B4,-B7,B5)</t>
  </si>
  <si>
    <t>=B3*12</t>
  </si>
  <si>
    <t>RATE Function</t>
  </si>
  <si>
    <t>NPER Function</t>
  </si>
  <si>
    <t>=NPER(B4,-B8,B6)</t>
  </si>
  <si>
    <t>Payment</t>
  </si>
  <si>
    <t>Interest</t>
  </si>
  <si>
    <t>Unpaid Capital</t>
  </si>
  <si>
    <t>IPMT Formula</t>
  </si>
  <si>
    <t>=IPMT($B$4,E3,$B$5,-$B$6)</t>
  </si>
  <si>
    <t>Unpaid Capital Formula</t>
  </si>
  <si>
    <t>=G2-$B$8+F3</t>
  </si>
  <si>
    <t>Initial Cost</t>
  </si>
  <si>
    <t>Return on Investment</t>
  </si>
  <si>
    <t>Repayment period</t>
  </si>
  <si>
    <t>FV</t>
  </si>
  <si>
    <t>=FV(B3,B6,-B5)</t>
  </si>
  <si>
    <t>PV</t>
  </si>
  <si>
    <t>=PV(B3,B6,-B5)</t>
  </si>
  <si>
    <t>FV and PV Function</t>
  </si>
  <si>
    <t>Initial cost</t>
  </si>
  <si>
    <t>Cash Flow 1</t>
  </si>
  <si>
    <t>Cash Flow 2</t>
  </si>
  <si>
    <t>Cash Flow 3</t>
  </si>
  <si>
    <t>Cash Flow 4</t>
  </si>
  <si>
    <t>IRR</t>
  </si>
  <si>
    <t>Formula</t>
  </si>
  <si>
    <t>NPV</t>
  </si>
  <si>
    <t>IRR and NPV Function</t>
  </si>
  <si>
    <t>x</t>
  </si>
  <si>
    <t>f(x)</t>
  </si>
  <si>
    <t>=LAMBDA(x,(x/2+1)^3)(A2)</t>
  </si>
  <si>
    <t>=LET(x,A3,(x/2+1)^3)</t>
  </si>
  <si>
    <t>=MyFirstNamedFunction(A3)</t>
  </si>
  <si>
    <t>g(x)</t>
  </si>
  <si>
    <t>h(x)</t>
  </si>
  <si>
    <t>Value 1</t>
  </si>
  <si>
    <t>Value 2</t>
  </si>
  <si>
    <t>Sum</t>
  </si>
  <si>
    <t>=BYCOL($B$2:$C$7,LAMBDA(table1,SUM(table1)))</t>
  </si>
  <si>
    <t>=BYROW($B$2:$C$7,LAMBDA(table1,SUM(table1)))</t>
  </si>
  <si>
    <t>Error Type</t>
  </si>
  <si>
    <t>IFNA Outcome</t>
  </si>
  <si>
    <t>IFERROR Outcome</t>
  </si>
  <si>
    <t>=IFNA(H$1,"IFNA OUTCOME")</t>
  </si>
  <si>
    <t>=IFERROR(H$1,"IFERROR OUTCOME")</t>
  </si>
  <si>
    <t>=PMT(N4,N5,-N6)</t>
  </si>
  <si>
    <t>=IRR(B2:B6)</t>
  </si>
  <si>
    <t>Discount</t>
  </si>
  <si>
    <t>Formula used</t>
  </si>
  <si>
    <t>For IRR, this is seen as a negative as the initial investment is a cash outflow (money you are paying out). For NPV, the initial investment is a positive, and you would typically add the initial investment after computing the NPV of the future cash flows</t>
  </si>
  <si>
    <t>=NPV(D5,B3:B6)+B2</t>
  </si>
  <si>
    <t>In this example, we are adding the initial investment, as the set up for the IRR and NPV calculations has it as a negative value (as seen by the parentheses)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</si>
</sst>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[$$-409]#,##0.00"/>
    <numFmt numFmtId="167" formatCode="0.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3">
    <xf numFmtId="0" fontId="0" fillId="0" borderId="0" xfId="0"/>
    <xf numFmtId="9" fontId="0" fillId="0" borderId="0" xfId="0" applyNumberFormat="1"/>
    <xf numFmtId="0" fontId="0" fillId="0" borderId="0" xfId="0" quotePrefix="1"/>
    <xf numFmtId="0" fontId="0" fillId="0" borderId="1" xfId="0" applyBorder="1"/>
    <xf numFmtId="9" fontId="0" fillId="0" borderId="2" xfId="0" applyNumberFormat="1" applyBorder="1"/>
    <xf numFmtId="0" fontId="0" fillId="0" borderId="3" xfId="0" applyBorder="1"/>
    <xf numFmtId="9" fontId="0" fillId="0" borderId="4" xfId="1" applyFont="1" applyBorder="1"/>
    <xf numFmtId="0" fontId="0" fillId="0" borderId="4" xfId="0" applyBorder="1"/>
    <xf numFmtId="0" fontId="0" fillId="0" borderId="5" xfId="0" applyBorder="1"/>
    <xf numFmtId="166" fontId="0" fillId="0" borderId="6" xfId="0" applyNumberFormat="1" applyBorder="1"/>
    <xf numFmtId="0" fontId="0" fillId="0" borderId="7" xfId="0" applyBorder="1"/>
    <xf numFmtId="0" fontId="2" fillId="0" borderId="0" xfId="0" applyFont="1"/>
    <xf numFmtId="9" fontId="0" fillId="0" borderId="0" xfId="0" quotePrefix="1" applyNumberFormat="1"/>
    <xf numFmtId="166" fontId="0" fillId="0" borderId="8" xfId="0" applyNumberFormat="1" applyBorder="1"/>
    <xf numFmtId="166" fontId="0" fillId="0" borderId="0" xfId="0" applyNumberFormat="1"/>
    <xf numFmtId="9" fontId="0" fillId="0" borderId="0" xfId="1" applyFont="1" applyBorder="1"/>
    <xf numFmtId="0" fontId="0" fillId="0" borderId="6" xfId="0" applyBorder="1"/>
    <xf numFmtId="167" fontId="0" fillId="0" borderId="0" xfId="0" applyNumberFormat="1"/>
    <xf numFmtId="164" fontId="0" fillId="0" borderId="0" xfId="0" applyNumberFormat="1"/>
    <xf numFmtId="165" fontId="4" fillId="0" borderId="0" xfId="2" applyFont="1"/>
    <xf numFmtId="0" fontId="0" fillId="0" borderId="9" xfId="0" quotePrefix="1" applyBorder="1" applyAlignment="1">
      <alignment horizontal="left" wrapText="1"/>
    </xf>
    <xf numFmtId="0" fontId="0" fillId="0" borderId="10" xfId="0" quotePrefix="1" applyBorder="1" applyAlignment="1">
      <alignment horizontal="left" wrapText="1"/>
    </xf>
    <xf numFmtId="0" fontId="0" fillId="0" borderId="11" xfId="0" quotePrefix="1" applyBorder="1" applyAlignment="1">
      <alignment horizontal="left" wrapText="1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4762B-4FBD-465B-B4EE-20A1B37EB862}">
  <dimension ref="A1:P9"/>
  <sheetViews>
    <sheetView workbookViewId="0">
      <selection activeCell="E14" sqref="E14"/>
    </sheetView>
  </sheetViews>
  <sheetFormatPr defaultRowHeight="14.4" x14ac:dyDescent="0.3"/>
  <cols>
    <col min="1" max="1" width="27.44140625" bestFit="1" customWidth="1"/>
    <col min="2" max="2" width="11.109375" bestFit="1" customWidth="1"/>
    <col min="3" max="3" width="15.5546875" bestFit="1" customWidth="1"/>
    <col min="5" max="5" width="27.44140625" bestFit="1" customWidth="1"/>
    <col min="6" max="6" width="11.109375" bestFit="1" customWidth="1"/>
    <col min="7" max="7" width="15.5546875" bestFit="1" customWidth="1"/>
    <col min="9" max="9" width="27.44140625" bestFit="1" customWidth="1"/>
    <col min="10" max="10" width="11.109375" bestFit="1" customWidth="1"/>
    <col min="11" max="11" width="14.77734375" bestFit="1" customWidth="1"/>
    <col min="13" max="13" width="27.44140625" bestFit="1" customWidth="1"/>
    <col min="14" max="14" width="11.109375" bestFit="1" customWidth="1"/>
    <col min="15" max="15" width="14.77734375" bestFit="1" customWidth="1"/>
  </cols>
  <sheetData>
    <row r="1" spans="1:16" x14ac:dyDescent="0.3">
      <c r="A1" t="s">
        <v>28</v>
      </c>
      <c r="E1" t="s">
        <v>12</v>
      </c>
      <c r="I1" t="s">
        <v>11</v>
      </c>
      <c r="M1" t="s">
        <v>6</v>
      </c>
    </row>
    <row r="2" spans="1:16" ht="15" thickBot="1" x14ac:dyDescent="0.35">
      <c r="B2" s="11"/>
      <c r="C2" s="11" t="s">
        <v>7</v>
      </c>
      <c r="F2" s="11" t="s">
        <v>7</v>
      </c>
      <c r="G2" s="11" t="s">
        <v>7</v>
      </c>
      <c r="K2" s="11" t="s">
        <v>7</v>
      </c>
      <c r="O2" s="11" t="s">
        <v>7</v>
      </c>
    </row>
    <row r="3" spans="1:16" x14ac:dyDescent="0.3">
      <c r="A3" s="3" t="s">
        <v>0</v>
      </c>
      <c r="B3" s="4">
        <v>0.05</v>
      </c>
      <c r="C3" s="2"/>
      <c r="E3" s="3" t="s">
        <v>0</v>
      </c>
      <c r="F3" s="4">
        <v>0.11999999999999655</v>
      </c>
      <c r="G3" s="2"/>
      <c r="I3" s="3" t="s">
        <v>0</v>
      </c>
      <c r="J3" s="4">
        <f>J4*12</f>
        <v>0.11999999999999655</v>
      </c>
      <c r="K3" s="2" t="s">
        <v>10</v>
      </c>
      <c r="M3" s="3" t="s">
        <v>0</v>
      </c>
      <c r="N3" s="4">
        <v>0.12</v>
      </c>
      <c r="O3" s="2"/>
    </row>
    <row r="4" spans="1:16" ht="15" thickBot="1" x14ac:dyDescent="0.35">
      <c r="A4" s="5" t="s">
        <v>21</v>
      </c>
      <c r="B4" s="9">
        <v>1000</v>
      </c>
      <c r="C4" s="12"/>
      <c r="E4" s="5" t="s">
        <v>1</v>
      </c>
      <c r="F4" s="6">
        <v>9.9999999999997122E-3</v>
      </c>
      <c r="G4" s="12"/>
      <c r="I4" s="5" t="s">
        <v>1</v>
      </c>
      <c r="J4" s="6">
        <f>RATE(J5,-J8,J6)</f>
        <v>9.9999999999997122E-3</v>
      </c>
      <c r="K4" s="12" t="s">
        <v>9</v>
      </c>
      <c r="M4" s="5" t="s">
        <v>1</v>
      </c>
      <c r="N4" s="6">
        <f>N3/12</f>
        <v>0.01</v>
      </c>
      <c r="O4" s="12" t="s">
        <v>4</v>
      </c>
    </row>
    <row r="5" spans="1:16" ht="15" thickBot="1" x14ac:dyDescent="0.35">
      <c r="A5" s="5" t="s">
        <v>22</v>
      </c>
      <c r="B5" s="9">
        <v>225</v>
      </c>
      <c r="C5" s="2"/>
      <c r="E5" s="5" t="s">
        <v>2</v>
      </c>
      <c r="F5" s="7">
        <f>NPER(F4,-F8,F6)</f>
        <v>23.999999999999741</v>
      </c>
      <c r="G5" s="2" t="s">
        <v>13</v>
      </c>
      <c r="I5" s="5" t="s">
        <v>2</v>
      </c>
      <c r="J5" s="7">
        <v>24</v>
      </c>
      <c r="K5" s="2"/>
      <c r="M5" s="5" t="s">
        <v>2</v>
      </c>
      <c r="N5" s="7">
        <v>24</v>
      </c>
      <c r="O5" s="2" t="s">
        <v>5</v>
      </c>
    </row>
    <row r="6" spans="1:16" ht="15" thickBot="1" x14ac:dyDescent="0.35">
      <c r="A6" s="8" t="s">
        <v>23</v>
      </c>
      <c r="B6" s="16">
        <v>5</v>
      </c>
      <c r="E6" s="8" t="s">
        <v>3</v>
      </c>
      <c r="F6" s="9">
        <v>100000</v>
      </c>
      <c r="I6" s="8" t="s">
        <v>3</v>
      </c>
      <c r="J6" s="9">
        <v>100000</v>
      </c>
      <c r="M6" s="8" t="s">
        <v>3</v>
      </c>
      <c r="N6" s="9">
        <v>100000</v>
      </c>
    </row>
    <row r="7" spans="1:16" ht="15" thickBot="1" x14ac:dyDescent="0.35"/>
    <row r="8" spans="1:16" ht="15" thickBot="1" x14ac:dyDescent="0.35">
      <c r="A8" s="10" t="s">
        <v>24</v>
      </c>
      <c r="B8" s="13">
        <f>FV(B3,B6,-B5)</f>
        <v>1243.2670312500006</v>
      </c>
      <c r="C8" s="2" t="s">
        <v>25</v>
      </c>
      <c r="E8" s="10" t="s">
        <v>8</v>
      </c>
      <c r="F8" s="13">
        <v>4707.3472223264698</v>
      </c>
      <c r="G8" s="2"/>
      <c r="I8" s="10" t="s">
        <v>8</v>
      </c>
      <c r="J8" s="13">
        <v>4707.3472223264698</v>
      </c>
      <c r="K8" s="2"/>
      <c r="M8" s="10" t="s">
        <v>6</v>
      </c>
      <c r="N8" s="13">
        <f>PMT(N4,N5,-N6)</f>
        <v>4707.3472223264698</v>
      </c>
      <c r="O8" s="2" t="s">
        <v>55</v>
      </c>
      <c r="P8" s="11"/>
    </row>
    <row r="9" spans="1:16" ht="15" thickBot="1" x14ac:dyDescent="0.35">
      <c r="A9" s="10" t="s">
        <v>26</v>
      </c>
      <c r="B9" s="13">
        <f>PV(B3,B6,-B5)</f>
        <v>974.13225089193475</v>
      </c>
      <c r="C9" s="2" t="s">
        <v>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9A210-784D-4DAB-A7C7-A01B65A33964}">
  <dimension ref="A1:G11"/>
  <sheetViews>
    <sheetView tabSelected="1" workbookViewId="0">
      <selection activeCell="B10" sqref="B10"/>
    </sheetView>
  </sheetViews>
  <sheetFormatPr defaultRowHeight="14.4" x14ac:dyDescent="0.3"/>
  <cols>
    <col min="1" max="1" width="18.77734375" bestFit="1" customWidth="1"/>
    <col min="2" max="2" width="15.109375" bestFit="1" customWidth="1"/>
    <col min="3" max="3" width="39.6640625" customWidth="1"/>
    <col min="4" max="4" width="11.5546875" bestFit="1" customWidth="1"/>
    <col min="6" max="6" width="9.6640625" bestFit="1" customWidth="1"/>
  </cols>
  <sheetData>
    <row r="1" spans="1:7" ht="15" thickBot="1" x14ac:dyDescent="0.35">
      <c r="A1" s="11" t="s">
        <v>37</v>
      </c>
      <c r="C1" s="11"/>
    </row>
    <row r="2" spans="1:7" ht="57" customHeight="1" thickBot="1" x14ac:dyDescent="0.4">
      <c r="A2" t="s">
        <v>29</v>
      </c>
      <c r="B2" s="19">
        <v>-100000</v>
      </c>
      <c r="C2" s="20" t="s">
        <v>59</v>
      </c>
      <c r="D2" s="21"/>
      <c r="E2" s="22"/>
      <c r="F2" s="14"/>
      <c r="G2" s="2"/>
    </row>
    <row r="3" spans="1:7" ht="15" x14ac:dyDescent="0.35">
      <c r="A3" t="s">
        <v>30</v>
      </c>
      <c r="B3" s="19">
        <v>50000</v>
      </c>
      <c r="F3" s="14"/>
    </row>
    <row r="4" spans="1:7" ht="15" x14ac:dyDescent="0.35">
      <c r="A4" t="s">
        <v>31</v>
      </c>
      <c r="B4" s="19">
        <v>20000</v>
      </c>
      <c r="D4" s="11" t="s">
        <v>57</v>
      </c>
      <c r="F4" s="14"/>
    </row>
    <row r="5" spans="1:7" ht="15" x14ac:dyDescent="0.35">
      <c r="A5" t="s">
        <v>32</v>
      </c>
      <c r="B5" s="19">
        <v>-30000</v>
      </c>
      <c r="D5" s="1">
        <v>0.1</v>
      </c>
      <c r="F5" s="14"/>
    </row>
    <row r="6" spans="1:7" ht="15" x14ac:dyDescent="0.35">
      <c r="A6" t="s">
        <v>33</v>
      </c>
      <c r="B6" s="19">
        <v>40000</v>
      </c>
      <c r="F6" s="14"/>
    </row>
    <row r="7" spans="1:7" x14ac:dyDescent="0.3">
      <c r="B7" s="14"/>
      <c r="F7" s="14"/>
    </row>
    <row r="8" spans="1:7" x14ac:dyDescent="0.3">
      <c r="C8" s="11" t="s">
        <v>58</v>
      </c>
    </row>
    <row r="9" spans="1:7" ht="15" thickBot="1" x14ac:dyDescent="0.35">
      <c r="A9" t="s">
        <v>34</v>
      </c>
      <c r="B9" s="17">
        <f>IRR(B2:B6, 0.1)</f>
        <v>-9.9756365946547687E-2</v>
      </c>
      <c r="C9" s="2" t="s">
        <v>56</v>
      </c>
      <c r="D9" s="1"/>
      <c r="F9" s="1"/>
      <c r="G9" s="2"/>
    </row>
    <row r="10" spans="1:7" ht="61.8" customHeight="1" thickBot="1" x14ac:dyDescent="0.35">
      <c r="A10" t="s">
        <v>36</v>
      </c>
      <c r="B10" s="14">
        <f>NPV(D5,B3:B6)+B2</f>
        <v>-33235.434738064345</v>
      </c>
      <c r="C10" s="2" t="s">
        <v>60</v>
      </c>
      <c r="D10" s="20" t="s">
        <v>61</v>
      </c>
      <c r="E10" s="21"/>
      <c r="F10" s="21"/>
      <c r="G10" s="22"/>
    </row>
    <row r="11" spans="1:7" x14ac:dyDescent="0.3">
      <c r="C11" s="18"/>
    </row>
  </sheetData>
  <mergeCells count="2">
    <mergeCell ref="D10:G10"/>
    <mergeCell ref="C2:E2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8C23-D0DE-46A1-90DF-9BB7A1B1A5E1}">
  <dimension ref="A1:G16"/>
  <sheetViews>
    <sheetView workbookViewId="0"/>
  </sheetViews>
  <sheetFormatPr defaultRowHeight="14.4" x14ac:dyDescent="0.3"/>
  <cols>
    <col min="3" max="3" width="22.88671875" bestFit="1" customWidth="1"/>
    <col min="5" max="5" width="24.44140625" bestFit="1" customWidth="1"/>
  </cols>
  <sheetData>
    <row r="1" spans="1:7" x14ac:dyDescent="0.3">
      <c r="C1" s="11" t="s">
        <v>35</v>
      </c>
      <c r="E1" s="11" t="s">
        <v>35</v>
      </c>
      <c r="G1" s="11" t="s">
        <v>35</v>
      </c>
    </row>
    <row r="2" spans="1:7" x14ac:dyDescent="0.3">
      <c r="A2" t="s">
        <v>38</v>
      </c>
      <c r="B2" t="s">
        <v>39</v>
      </c>
      <c r="D2" t="s">
        <v>43</v>
      </c>
      <c r="F2" t="s">
        <v>44</v>
      </c>
    </row>
    <row r="3" spans="1:7" x14ac:dyDescent="0.3">
      <c r="A3">
        <v>0</v>
      </c>
      <c r="B3" cm="1">
        <f t="array" ref="B3">_xlfn.LAMBDA(_xlpm.x,(_xlpm.x/2+1)^3)(A3)</f>
        <v>1</v>
      </c>
      <c r="C3" s="2" t="s">
        <v>40</v>
      </c>
      <c r="D3" cm="1">
        <f t="array" ref="D3">MyFirstNamedFunction(A3)</f>
        <v>1</v>
      </c>
      <c r="E3" s="2" t="s">
        <v>42</v>
      </c>
      <c r="F3">
        <f>_xlfn.LET(_xlpm.x,A3,(_xlpm.x/2+1)^3)</f>
        <v>1</v>
      </c>
      <c r="G3" s="2" t="s">
        <v>41</v>
      </c>
    </row>
    <row r="4" spans="1:7" x14ac:dyDescent="0.3">
      <c r="A4">
        <v>1</v>
      </c>
      <c r="B4" cm="1">
        <f t="array" ref="B4">_xlfn.LAMBDA(_xlpm.x,(_xlpm.x/2+1)^3)(A4)</f>
        <v>3.375</v>
      </c>
      <c r="D4" cm="1">
        <f t="array" ref="D4">MyFirstNamedFunction(A4)</f>
        <v>3.375</v>
      </c>
      <c r="F4">
        <f t="shared" ref="F4:F16" si="0">_xlfn.LET(_xlpm.x,A4,(_xlpm.x/2+1)^3)</f>
        <v>3.375</v>
      </c>
    </row>
    <row r="5" spans="1:7" x14ac:dyDescent="0.3">
      <c r="A5">
        <v>2</v>
      </c>
      <c r="B5" cm="1">
        <f t="array" ref="B5">_xlfn.LAMBDA(_xlpm.x,(_xlpm.x/2+1)^3)(A5)</f>
        <v>8</v>
      </c>
      <c r="D5" cm="1">
        <f t="array" ref="D5">MyFirstNamedFunction(A5)</f>
        <v>8</v>
      </c>
      <c r="F5">
        <f t="shared" si="0"/>
        <v>8</v>
      </c>
    </row>
    <row r="6" spans="1:7" x14ac:dyDescent="0.3">
      <c r="A6">
        <v>3</v>
      </c>
      <c r="B6" cm="1">
        <f t="array" ref="B6">_xlfn.LAMBDA(_xlpm.x,(_xlpm.x/2+1)^3)(A6)</f>
        <v>15.625</v>
      </c>
      <c r="D6" cm="1">
        <f t="array" ref="D6">MyFirstNamedFunction(A6)</f>
        <v>15.625</v>
      </c>
      <c r="F6">
        <f t="shared" si="0"/>
        <v>15.625</v>
      </c>
    </row>
    <row r="7" spans="1:7" x14ac:dyDescent="0.3">
      <c r="A7">
        <v>4</v>
      </c>
      <c r="B7" cm="1">
        <f t="array" ref="B7">_xlfn.LAMBDA(_xlpm.x,(_xlpm.x/2+1)^3)(A7)</f>
        <v>27</v>
      </c>
      <c r="D7" cm="1">
        <f t="array" ref="D7">MyFirstNamedFunction(A7)</f>
        <v>27</v>
      </c>
      <c r="F7">
        <f t="shared" si="0"/>
        <v>27</v>
      </c>
    </row>
    <row r="8" spans="1:7" x14ac:dyDescent="0.3">
      <c r="A8">
        <v>5</v>
      </c>
      <c r="B8" cm="1">
        <f t="array" ref="B8">_xlfn.LAMBDA(_xlpm.x,(_xlpm.x/2+1)^3)(A8)</f>
        <v>42.875</v>
      </c>
      <c r="D8" cm="1">
        <f t="array" ref="D8">MyFirstNamedFunction(A8)</f>
        <v>42.875</v>
      </c>
      <c r="F8">
        <f t="shared" si="0"/>
        <v>42.875</v>
      </c>
    </row>
    <row r="9" spans="1:7" x14ac:dyDescent="0.3">
      <c r="A9">
        <v>6</v>
      </c>
      <c r="B9" cm="1">
        <f t="array" ref="B9">_xlfn.LAMBDA(_xlpm.x,(_xlpm.x/2+1)^3)(A9)</f>
        <v>64</v>
      </c>
      <c r="D9" cm="1">
        <f t="array" ref="D9">MyFirstNamedFunction(A9)</f>
        <v>64</v>
      </c>
      <c r="F9">
        <f t="shared" si="0"/>
        <v>64</v>
      </c>
    </row>
    <row r="10" spans="1:7" x14ac:dyDescent="0.3">
      <c r="A10">
        <v>7</v>
      </c>
      <c r="B10" cm="1">
        <f t="array" ref="B10">_xlfn.LAMBDA(_xlpm.x,(_xlpm.x/2+1)^3)(A10)</f>
        <v>91.125</v>
      </c>
      <c r="D10" cm="1">
        <f t="array" ref="D10">MyFirstNamedFunction(A10)</f>
        <v>91.125</v>
      </c>
      <c r="F10">
        <f t="shared" si="0"/>
        <v>91.125</v>
      </c>
    </row>
    <row r="11" spans="1:7" x14ac:dyDescent="0.3">
      <c r="A11">
        <v>8</v>
      </c>
      <c r="B11" cm="1">
        <f t="array" ref="B11">_xlfn.LAMBDA(_xlpm.x,(_xlpm.x/2+1)^3)(A11)</f>
        <v>125</v>
      </c>
      <c r="D11" cm="1">
        <f t="array" ref="D11">MyFirstNamedFunction(A11)</f>
        <v>125</v>
      </c>
      <c r="F11">
        <f t="shared" si="0"/>
        <v>125</v>
      </c>
    </row>
    <row r="12" spans="1:7" x14ac:dyDescent="0.3">
      <c r="A12">
        <v>9</v>
      </c>
      <c r="B12" cm="1">
        <f t="array" ref="B12">_xlfn.LAMBDA(_xlpm.x,(_xlpm.x/2+1)^3)(A12)</f>
        <v>166.375</v>
      </c>
      <c r="D12" cm="1">
        <f t="array" ref="D12">MyFirstNamedFunction(A12)</f>
        <v>166.375</v>
      </c>
      <c r="F12">
        <f t="shared" si="0"/>
        <v>166.375</v>
      </c>
    </row>
    <row r="13" spans="1:7" x14ac:dyDescent="0.3">
      <c r="A13">
        <v>10</v>
      </c>
      <c r="B13" cm="1">
        <f t="array" ref="B13">_xlfn.LAMBDA(_xlpm.x,(_xlpm.x/2+1)^3)(A13)</f>
        <v>216</v>
      </c>
      <c r="D13" cm="1">
        <f t="array" ref="D13">MyFirstNamedFunction(A13)</f>
        <v>216</v>
      </c>
      <c r="F13">
        <f t="shared" si="0"/>
        <v>216</v>
      </c>
    </row>
    <row r="14" spans="1:7" x14ac:dyDescent="0.3">
      <c r="A14">
        <v>11</v>
      </c>
      <c r="B14" cm="1">
        <f t="array" ref="B14">_xlfn.LAMBDA(_xlpm.x,(_xlpm.x/2+1)^3)(A14)</f>
        <v>274.625</v>
      </c>
      <c r="D14" cm="1">
        <f t="array" ref="D14">MyFirstNamedFunction(A14)</f>
        <v>274.625</v>
      </c>
      <c r="F14">
        <f t="shared" si="0"/>
        <v>274.625</v>
      </c>
    </row>
    <row r="15" spans="1:7" x14ac:dyDescent="0.3">
      <c r="A15">
        <v>12</v>
      </c>
      <c r="B15" cm="1">
        <f t="array" ref="B15">_xlfn.LAMBDA(_xlpm.x,(_xlpm.x/2+1)^3)(A15)</f>
        <v>343</v>
      </c>
      <c r="D15" cm="1">
        <f t="array" ref="D15">MyFirstNamedFunction(A15)</f>
        <v>343</v>
      </c>
      <c r="F15">
        <f t="shared" si="0"/>
        <v>343</v>
      </c>
    </row>
    <row r="16" spans="1:7" x14ac:dyDescent="0.3">
      <c r="A16">
        <v>13</v>
      </c>
      <c r="B16" cm="1">
        <f t="array" ref="B16">_xlfn.LAMBDA(_xlpm.x,(_xlpm.x/2+1)^3)(A16)</f>
        <v>421.875</v>
      </c>
      <c r="D16" cm="1">
        <f t="array" ref="D16">MyFirstNamedFunction(A16)</f>
        <v>421.875</v>
      </c>
      <c r="F16">
        <f t="shared" si="0"/>
        <v>421.875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BE28-4E89-4BE7-A360-75A4EB44E489}">
  <dimension ref="A1:H26"/>
  <sheetViews>
    <sheetView workbookViewId="0"/>
  </sheetViews>
  <sheetFormatPr defaultRowHeight="14.4" x14ac:dyDescent="0.3"/>
  <cols>
    <col min="1" max="1" width="27.44140625" bestFit="1" customWidth="1"/>
    <col min="2" max="2" width="11.109375" bestFit="1" customWidth="1"/>
    <col min="3" max="3" width="11.109375" customWidth="1"/>
    <col min="4" max="4" width="24" bestFit="1" customWidth="1"/>
    <col min="5" max="5" width="8.109375" bestFit="1" customWidth="1"/>
    <col min="6" max="6" width="9.109375" bestFit="1" customWidth="1"/>
    <col min="7" max="7" width="12.88671875" bestFit="1" customWidth="1"/>
    <col min="8" max="8" width="20.88671875" bestFit="1" customWidth="1"/>
  </cols>
  <sheetData>
    <row r="1" spans="1:8" x14ac:dyDescent="0.3">
      <c r="A1" t="s">
        <v>12</v>
      </c>
      <c r="D1" s="11" t="s">
        <v>17</v>
      </c>
      <c r="E1" s="11" t="s">
        <v>14</v>
      </c>
      <c r="F1" s="11" t="s">
        <v>15</v>
      </c>
      <c r="G1" s="11" t="s">
        <v>16</v>
      </c>
      <c r="H1" s="11" t="s">
        <v>19</v>
      </c>
    </row>
    <row r="2" spans="1:8" ht="15" thickBot="1" x14ac:dyDescent="0.35">
      <c r="B2" s="11" t="s">
        <v>7</v>
      </c>
      <c r="C2" s="11"/>
      <c r="D2" s="11"/>
      <c r="E2">
        <v>0</v>
      </c>
      <c r="G2" s="14">
        <v>100000</v>
      </c>
    </row>
    <row r="3" spans="1:8" x14ac:dyDescent="0.3">
      <c r="A3" s="3" t="s">
        <v>0</v>
      </c>
      <c r="B3" s="4">
        <v>0.11999999999999655</v>
      </c>
      <c r="C3" s="1"/>
      <c r="D3" s="2" t="s">
        <v>18</v>
      </c>
      <c r="E3">
        <v>1</v>
      </c>
      <c r="F3" s="14">
        <f>IPMT($B$4,E3,$B$5,-$B$6)</f>
        <v>999.99999999997124</v>
      </c>
      <c r="G3" s="14">
        <f>G2-$B$8+F3</f>
        <v>96292.652777673502</v>
      </c>
      <c r="H3" s="2" t="s">
        <v>20</v>
      </c>
    </row>
    <row r="4" spans="1:8" x14ac:dyDescent="0.3">
      <c r="A4" s="5" t="s">
        <v>1</v>
      </c>
      <c r="B4" s="6">
        <v>9.9999999999997122E-3</v>
      </c>
      <c r="C4" s="15"/>
      <c r="D4" s="12"/>
      <c r="E4">
        <v>2</v>
      </c>
      <c r="F4" s="14">
        <f t="shared" ref="F4:F26" si="0">IPMT($B$4,E4,$B$5,-$B$6)</f>
        <v>962.92652777670708</v>
      </c>
      <c r="G4" s="14">
        <f t="shared" ref="G4:G26" si="1">G3-$B$8+F4</f>
        <v>92548.232083123745</v>
      </c>
    </row>
    <row r="5" spans="1:8" x14ac:dyDescent="0.3">
      <c r="A5" s="5" t="s">
        <v>2</v>
      </c>
      <c r="B5" s="7">
        <v>23.999999999999741</v>
      </c>
      <c r="D5" s="2"/>
      <c r="E5">
        <v>3</v>
      </c>
      <c r="F5" s="14">
        <f t="shared" si="0"/>
        <v>925.48232083121025</v>
      </c>
      <c r="G5" s="14">
        <f t="shared" si="1"/>
        <v>88766.367181628491</v>
      </c>
    </row>
    <row r="6" spans="1:8" ht="15" thickBot="1" x14ac:dyDescent="0.35">
      <c r="A6" s="8" t="s">
        <v>3</v>
      </c>
      <c r="B6" s="9">
        <v>100000</v>
      </c>
      <c r="C6" s="14"/>
      <c r="E6">
        <v>4</v>
      </c>
      <c r="F6" s="14">
        <f t="shared" si="0"/>
        <v>887.66367181625833</v>
      </c>
      <c r="G6" s="14">
        <f t="shared" si="1"/>
        <v>84946.683631118285</v>
      </c>
    </row>
    <row r="7" spans="1:8" ht="15" thickBot="1" x14ac:dyDescent="0.35">
      <c r="E7">
        <v>5</v>
      </c>
      <c r="F7" s="14">
        <f t="shared" si="0"/>
        <v>849.46683631115695</v>
      </c>
      <c r="G7" s="14">
        <f t="shared" si="1"/>
        <v>81088.803245102972</v>
      </c>
    </row>
    <row r="8" spans="1:8" ht="15" thickBot="1" x14ac:dyDescent="0.35">
      <c r="A8" s="10" t="s">
        <v>8</v>
      </c>
      <c r="B8" s="13">
        <v>4707.3472223264698</v>
      </c>
      <c r="C8" s="14"/>
      <c r="D8" s="2"/>
      <c r="E8">
        <v>6</v>
      </c>
      <c r="F8" s="14">
        <f t="shared" si="0"/>
        <v>810.88803245100473</v>
      </c>
      <c r="G8" s="14">
        <f t="shared" si="1"/>
        <v>77192.344055227513</v>
      </c>
    </row>
    <row r="9" spans="1:8" x14ac:dyDescent="0.3">
      <c r="E9">
        <v>7</v>
      </c>
      <c r="F9" s="14">
        <f t="shared" si="0"/>
        <v>771.92344055225078</v>
      </c>
      <c r="G9" s="14">
        <f t="shared" si="1"/>
        <v>73256.920273453288</v>
      </c>
    </row>
    <row r="10" spans="1:8" x14ac:dyDescent="0.3">
      <c r="E10">
        <v>8</v>
      </c>
      <c r="F10" s="14">
        <f t="shared" si="0"/>
        <v>732.56920273450942</v>
      </c>
      <c r="G10" s="14">
        <f t="shared" si="1"/>
        <v>69282.142253861326</v>
      </c>
    </row>
    <row r="11" spans="1:8" x14ac:dyDescent="0.3">
      <c r="E11">
        <v>9</v>
      </c>
      <c r="F11" s="14">
        <f t="shared" si="0"/>
        <v>692.8214225385907</v>
      </c>
      <c r="G11" s="14">
        <f t="shared" si="1"/>
        <v>65267.616454073446</v>
      </c>
    </row>
    <row r="12" spans="1:8" x14ac:dyDescent="0.3">
      <c r="E12">
        <v>10</v>
      </c>
      <c r="F12" s="14">
        <f t="shared" si="0"/>
        <v>652.67616454071288</v>
      </c>
      <c r="G12" s="14">
        <f t="shared" si="1"/>
        <v>61212.945396287687</v>
      </c>
    </row>
    <row r="13" spans="1:8" x14ac:dyDescent="0.3">
      <c r="E13">
        <v>11</v>
      </c>
      <c r="F13" s="14">
        <f t="shared" si="0"/>
        <v>612.12945396285625</v>
      </c>
      <c r="G13" s="14">
        <f t="shared" si="1"/>
        <v>57117.727627924076</v>
      </c>
    </row>
    <row r="14" spans="1:8" x14ac:dyDescent="0.3">
      <c r="E14">
        <v>12</v>
      </c>
      <c r="F14" s="14">
        <f t="shared" si="0"/>
        <v>571.17727627922079</v>
      </c>
      <c r="G14" s="14">
        <f t="shared" si="1"/>
        <v>52981.557681876831</v>
      </c>
    </row>
    <row r="15" spans="1:8" x14ac:dyDescent="0.3">
      <c r="E15">
        <v>13</v>
      </c>
      <c r="F15" s="14">
        <f t="shared" si="0"/>
        <v>529.81557681874938</v>
      </c>
      <c r="G15" s="14">
        <f t="shared" si="1"/>
        <v>48804.026036369112</v>
      </c>
    </row>
    <row r="16" spans="1:8" x14ac:dyDescent="0.3">
      <c r="E16">
        <v>14</v>
      </c>
      <c r="F16" s="14">
        <f t="shared" si="0"/>
        <v>488.04026036367299</v>
      </c>
      <c r="G16" s="14">
        <f t="shared" si="1"/>
        <v>44584.719074406319</v>
      </c>
    </row>
    <row r="17" spans="5:7" x14ac:dyDescent="0.3">
      <c r="E17">
        <v>15</v>
      </c>
      <c r="F17" s="14">
        <f t="shared" si="0"/>
        <v>445.84719074404586</v>
      </c>
      <c r="G17" s="14">
        <f t="shared" si="1"/>
        <v>40323.219042823897</v>
      </c>
    </row>
    <row r="18" spans="5:7" x14ac:dyDescent="0.3">
      <c r="E18">
        <v>16</v>
      </c>
      <c r="F18" s="14">
        <f t="shared" si="0"/>
        <v>403.23219042822251</v>
      </c>
      <c r="G18" s="14">
        <f t="shared" si="1"/>
        <v>36019.10401092565</v>
      </c>
    </row>
    <row r="19" spans="5:7" x14ac:dyDescent="0.3">
      <c r="E19">
        <v>17</v>
      </c>
      <c r="F19" s="14">
        <f t="shared" si="0"/>
        <v>360.19104010924104</v>
      </c>
      <c r="G19" s="14">
        <f t="shared" si="1"/>
        <v>31671.947828708424</v>
      </c>
    </row>
    <row r="20" spans="5:7" x14ac:dyDescent="0.3">
      <c r="E20">
        <v>18</v>
      </c>
      <c r="F20" s="14">
        <f t="shared" si="0"/>
        <v>316.71947828706976</v>
      </c>
      <c r="G20" s="14">
        <f t="shared" si="1"/>
        <v>27281.320084669023</v>
      </c>
    </row>
    <row r="21" spans="5:7" x14ac:dyDescent="0.3">
      <c r="E21">
        <v>19</v>
      </c>
      <c r="F21" s="14">
        <f t="shared" si="0"/>
        <v>272.81320084667669</v>
      </c>
      <c r="G21" s="14">
        <f t="shared" si="1"/>
        <v>22846.786063189233</v>
      </c>
    </row>
    <row r="22" spans="5:7" x14ac:dyDescent="0.3">
      <c r="E22">
        <v>20</v>
      </c>
      <c r="F22" s="14">
        <f t="shared" si="0"/>
        <v>228.46786063187974</v>
      </c>
      <c r="G22" s="14">
        <f t="shared" si="1"/>
        <v>18367.906701494645</v>
      </c>
    </row>
    <row r="23" spans="5:7" x14ac:dyDescent="0.3">
      <c r="E23">
        <v>21</v>
      </c>
      <c r="F23" s="14">
        <f t="shared" si="0"/>
        <v>183.67906701493484</v>
      </c>
      <c r="G23" s="14">
        <f t="shared" si="1"/>
        <v>13844.238546183111</v>
      </c>
    </row>
    <row r="24" spans="5:7" x14ac:dyDescent="0.3">
      <c r="E24">
        <v>22</v>
      </c>
      <c r="F24" s="14">
        <f t="shared" si="0"/>
        <v>138.44238546182046</v>
      </c>
      <c r="G24" s="14">
        <f t="shared" si="1"/>
        <v>9275.3337093184618</v>
      </c>
    </row>
    <row r="25" spans="5:7" x14ac:dyDescent="0.3">
      <c r="E25">
        <v>23</v>
      </c>
      <c r="F25" s="14">
        <f t="shared" si="0"/>
        <v>92.753337093175006</v>
      </c>
      <c r="G25" s="14">
        <f t="shared" si="1"/>
        <v>4660.7398240851671</v>
      </c>
    </row>
    <row r="26" spans="5:7" x14ac:dyDescent="0.3">
      <c r="E26">
        <v>24</v>
      </c>
      <c r="F26" s="14">
        <f t="shared" si="0"/>
        <v>46.607398240843082</v>
      </c>
      <c r="G26" s="14">
        <f t="shared" si="1"/>
        <v>-4.596074631990632E-10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87AA-19C2-42B8-9763-EC9879B19395}">
  <dimension ref="A1:E9"/>
  <sheetViews>
    <sheetView workbookViewId="0"/>
  </sheetViews>
  <sheetFormatPr defaultRowHeight="14.4" x14ac:dyDescent="0.3"/>
  <cols>
    <col min="1" max="1" width="9.21875" customWidth="1"/>
    <col min="2" max="2" width="11.44140625" customWidth="1"/>
  </cols>
  <sheetData>
    <row r="1" spans="1:5" x14ac:dyDescent="0.3">
      <c r="B1" s="11" t="s">
        <v>45</v>
      </c>
      <c r="C1" s="11" t="s">
        <v>46</v>
      </c>
      <c r="D1" s="11" t="s">
        <v>47</v>
      </c>
      <c r="E1" s="11" t="s">
        <v>35</v>
      </c>
    </row>
    <row r="2" spans="1:5" x14ac:dyDescent="0.3">
      <c r="B2">
        <v>1</v>
      </c>
      <c r="C2">
        <v>10</v>
      </c>
      <c r="D2" s="11" cm="1">
        <f t="array" ref="D2:D7">_xlfn.BYROW($B$2:$C$7,_xlfn.LAMBDA(_xlpm.table1,SUM(_xlpm.table1)))</f>
        <v>11</v>
      </c>
      <c r="E2" s="2" t="s">
        <v>49</v>
      </c>
    </row>
    <row r="3" spans="1:5" x14ac:dyDescent="0.3">
      <c r="B3">
        <v>2</v>
      </c>
      <c r="C3">
        <v>11</v>
      </c>
      <c r="D3" s="11">
        <v>13</v>
      </c>
    </row>
    <row r="4" spans="1:5" x14ac:dyDescent="0.3">
      <c r="B4">
        <v>3</v>
      </c>
      <c r="C4">
        <v>12</v>
      </c>
      <c r="D4" s="11">
        <v>15</v>
      </c>
    </row>
    <row r="5" spans="1:5" x14ac:dyDescent="0.3">
      <c r="B5">
        <v>4</v>
      </c>
      <c r="C5">
        <v>13</v>
      </c>
      <c r="D5" s="11">
        <v>17</v>
      </c>
    </row>
    <row r="6" spans="1:5" x14ac:dyDescent="0.3">
      <c r="B6">
        <v>5</v>
      </c>
      <c r="C6">
        <v>14</v>
      </c>
      <c r="D6" s="11">
        <v>19</v>
      </c>
    </row>
    <row r="7" spans="1:5" x14ac:dyDescent="0.3">
      <c r="B7">
        <v>6</v>
      </c>
      <c r="C7">
        <v>15</v>
      </c>
      <c r="D7" s="11">
        <v>21</v>
      </c>
    </row>
    <row r="8" spans="1:5" x14ac:dyDescent="0.3">
      <c r="A8" s="11" t="s">
        <v>47</v>
      </c>
      <c r="B8" s="11" cm="1">
        <f t="array" ref="B8:C8">_xlfn.BYCOL($B$2:$C$7,_xlfn.LAMBDA(_xlpm.table1,SUM(_xlpm.table1)))</f>
        <v>21</v>
      </c>
      <c r="C8" s="11">
        <v>75</v>
      </c>
    </row>
    <row r="9" spans="1:5" x14ac:dyDescent="0.3">
      <c r="A9" t="s">
        <v>35</v>
      </c>
      <c r="B9" s="2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32E4-6FD0-402B-B9DA-44EBCFD8BE8F}">
  <dimension ref="A1:I3"/>
  <sheetViews>
    <sheetView workbookViewId="0">
      <selection activeCell="I3" sqref="I3"/>
    </sheetView>
  </sheetViews>
  <sheetFormatPr defaultRowHeight="14.4" x14ac:dyDescent="0.3"/>
  <cols>
    <col min="1" max="1" width="16.21875" bestFit="1" customWidth="1"/>
    <col min="2" max="8" width="17.5546875" bestFit="1" customWidth="1"/>
  </cols>
  <sheetData>
    <row r="1" spans="1:9" x14ac:dyDescent="0.3">
      <c r="A1" t="s">
        <v>50</v>
      </c>
      <c r="B1" t="e">
        <v>#N/A</v>
      </c>
      <c r="C1" t="e">
        <v>#VALUE!</v>
      </c>
      <c r="D1" t="e">
        <v>#REF!</v>
      </c>
      <c r="E1" t="e">
        <v>#DIV/0!</v>
      </c>
      <c r="F1" t="e">
        <v>#NUM!</v>
      </c>
      <c r="G1" t="e">
        <v>#NAME?</v>
      </c>
      <c r="H1" t="e">
        <v>#NULL!</v>
      </c>
      <c r="I1" s="11" t="s">
        <v>35</v>
      </c>
    </row>
    <row r="2" spans="1:9" x14ac:dyDescent="0.3">
      <c r="A2" t="s">
        <v>51</v>
      </c>
      <c r="B2" t="str">
        <f>_xlfn.IFNA(B$1,"IFNA OUTCOME")</f>
        <v>IFNA OUTCOME</v>
      </c>
      <c r="C2" t="e">
        <f t="shared" ref="C2:H2" si="0">_xlfn.IFNA(C$1,"IFNA OUTCOME")</f>
        <v>#VALUE!</v>
      </c>
      <c r="D2" t="e">
        <f t="shared" si="0"/>
        <v>#REF!</v>
      </c>
      <c r="E2" t="e">
        <f t="shared" si="0"/>
        <v>#DIV/0!</v>
      </c>
      <c r="F2" t="e">
        <f t="shared" si="0"/>
        <v>#NUM!</v>
      </c>
      <c r="G2" t="e">
        <f t="shared" si="0"/>
        <v>#NAME?</v>
      </c>
      <c r="H2" t="e">
        <f t="shared" si="0"/>
        <v>#NULL!</v>
      </c>
      <c r="I2" s="2" t="s">
        <v>53</v>
      </c>
    </row>
    <row r="3" spans="1:9" x14ac:dyDescent="0.3">
      <c r="A3" t="s">
        <v>52</v>
      </c>
      <c r="B3" t="str">
        <f>IFERROR(B$1,"IFERROR OUTCOME")</f>
        <v>IFERROR OUTCOME</v>
      </c>
      <c r="C3" t="str">
        <f t="shared" ref="C3:H3" si="1">IFERROR(C$1,"IFERROR OUTCOME")</f>
        <v>IFERROR OUTCOME</v>
      </c>
      <c r="D3" t="str">
        <f>IFERROR(D$1,"IFERROR OUTCOME")</f>
        <v>IFERROR OUTCOME</v>
      </c>
      <c r="E3" t="str">
        <f t="shared" si="1"/>
        <v>IFERROR OUTCOME</v>
      </c>
      <c r="F3" t="str">
        <f t="shared" si="1"/>
        <v>IFERROR OUTCOME</v>
      </c>
      <c r="G3" t="str">
        <f t="shared" si="1"/>
        <v>IFERROR OUTCOME</v>
      </c>
      <c r="H3" t="str">
        <f t="shared" si="1"/>
        <v>IFERROR OUTCOME</v>
      </c>
      <c r="I3" s="2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14C8BC-8765-47C8-927B-C21C85312D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NPER,RATE,PMT,FV,PV</vt:lpstr>
      <vt:lpstr>IRR and NPV Function</vt:lpstr>
      <vt:lpstr>LAMDA,Name Manager,LET</vt:lpstr>
      <vt:lpstr>IPMT Function</vt:lpstr>
      <vt:lpstr>Byrow and Bycol</vt:lpstr>
      <vt:lpstr>IFERROR AND IFNA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 Rudd</dc:creator>
  <cp:lastModifiedBy>Jessie Rudd</cp:lastModifiedBy>
  <dcterms:created xsi:type="dcterms:W3CDTF">2023-06-12T08:02:58Z</dcterms:created>
  <dcterms:modified xsi:type="dcterms:W3CDTF">2024-03-07T13:09:00Z</dcterms:modified>
</cp:coreProperties>
</file>