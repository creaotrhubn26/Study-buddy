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 1 Tool Exploration" sheetId="1" state="visible" r:id="rId1"/>
    <sheet name="Step 1 Quantitative KPI" sheetId="2" state="visible" r:id="rId2"/>
    <sheet name="Step 2 Qualitative NPS" sheetId="3" state="visible" r:id="rId3"/>
    <sheet name="Step 2 Engagement Survey" sheetId="4" state="visible" r:id="rId4"/>
    <sheet name="Method and Rationale" sheetId="5" state="visible" r:id="rId5"/>
  </sheets>
  <definedNames/>
  <calcPr calcId="124519" fullCalcOnLoad="1"/>
</workbook>
</file>

<file path=xl/styles.xml><?xml version="1.0" encoding="utf-8"?>
<styleSheet xmlns="http://schemas.openxmlformats.org/spreadsheetml/2006/main">
  <numFmts count="4">
    <numFmt numFmtId="164" formatCode="0.00&quot;%&quot;"/>
    <numFmt numFmtId="165" formatCode="0.0&quot;%&quot;"/>
    <numFmt numFmtId="166" formatCode="0.0"/>
    <numFmt numFmtId="167" formatCode="+0.0;-0.0;0.0"/>
  </numFmts>
  <fonts count="4">
    <font>
      <name val="Calibri"/>
      <family val="2"/>
      <color theme="1"/>
      <sz val="11"/>
      <scheme val="minor"/>
    </font>
    <font>
      <b val="1"/>
      <color rgb="00FFFFFF"/>
      <sz val="13"/>
    </font>
    <font>
      <b val="1"/>
      <color rgb="00FFFFFF"/>
    </font>
    <font>
      <b val="1"/>
    </font>
  </fonts>
  <fills count="8">
    <fill>
      <patternFill/>
    </fill>
    <fill>
      <patternFill patternType="gray125"/>
    </fill>
    <fill>
      <patternFill patternType="solid">
        <fgColor rgb="001F3B4D"/>
      </patternFill>
    </fill>
    <fill>
      <patternFill patternType="solid">
        <fgColor rgb="002E6E8E"/>
      </patternFill>
    </fill>
    <fill>
      <patternFill patternType="solid">
        <fgColor rgb="00DCE6EC"/>
      </patternFill>
    </fill>
    <fill>
      <patternFill patternType="solid">
        <fgColor rgb="00FFF4CE"/>
      </patternFill>
    </fill>
    <fill>
      <patternFill patternType="solid">
        <fgColor rgb="00FCE5CD"/>
      </patternFill>
    </fill>
    <fill>
      <patternFill patternType="solid">
        <fgColor rgb="00D9EAD3"/>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5">
    <xf numFmtId="0" fontId="0" fillId="0" borderId="0" pivotButton="0" quotePrefix="0" xfId="0"/>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0" fontId="3" fillId="4" borderId="1" pivotButton="0" quotePrefix="0" xfId="0"/>
    <xf numFmtId="0" fontId="0" fillId="4" borderId="1" pivotButton="0" quotePrefix="0" xfId="0"/>
    <xf numFmtId="0" fontId="3" fillId="0" borderId="1" pivotButton="0" quotePrefix="0" xfId="0"/>
    <xf numFmtId="164" fontId="0" fillId="5" borderId="1" pivotButton="0" quotePrefix="0" xfId="0"/>
    <xf numFmtId="164" fontId="0" fillId="0" borderId="1" pivotButton="0" quotePrefix="0" xfId="0"/>
    <xf numFmtId="165" fontId="0" fillId="6" borderId="1" pivotButton="0" quotePrefix="0" xfId="0"/>
    <xf numFmtId="165" fontId="0" fillId="5" borderId="1" pivotButton="0" quotePrefix="0" xfId="0"/>
    <xf numFmtId="165" fontId="0" fillId="0" borderId="1" pivotButton="0" quotePrefix="0" xfId="0"/>
    <xf numFmtId="0" fontId="0" fillId="6" borderId="1" pivotButton="0" quotePrefix="0" xfId="0"/>
    <xf numFmtId="0" fontId="3" fillId="0" borderId="0" pivotButton="0" quotePrefix="0" xfId="0"/>
    <xf numFmtId="0" fontId="0" fillId="5" borderId="0" pivotButton="0" quotePrefix="0" xfId="0"/>
    <xf numFmtId="166" fontId="0" fillId="7" borderId="1" pivotButton="0" quotePrefix="0" xfId="0"/>
    <xf numFmtId="2" fontId="0" fillId="5" borderId="1" pivotButton="0" quotePrefix="0" xfId="0"/>
    <xf numFmtId="166" fontId="0" fillId="6" borderId="1" pivotButton="0" quotePrefix="0" xfId="0"/>
    <xf numFmtId="167" fontId="0" fillId="0" borderId="1" pivotButton="0" quotePrefix="0" xfId="0"/>
    <xf numFmtId="0" fontId="0" fillId="5" borderId="1" pivotButton="0" quotePrefix="0" xfId="0"/>
    <xf numFmtId="2" fontId="0" fillId="6" borderId="1" pivotButton="0" quotePrefix="0" xfId="0"/>
    <xf numFmtId="165"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6" customWidth="1" min="1" max="1"/>
    <col width="34" customWidth="1" min="2" max="2"/>
    <col width="40" customWidth="1" min="3" max="3"/>
    <col width="44" customWidth="1" min="4" max="4"/>
    <col width="34" customWidth="1" min="5" max="5"/>
  </cols>
  <sheetData>
    <row r="1" ht="20" customHeight="1">
      <c r="A1" s="1" t="inlineStr">
        <is>
          <t>Step 1 - Tools for quantitative KPI collection, explored for Nordtre AS</t>
        </is>
      </c>
      <c r="B1" s="2" t="n"/>
      <c r="C1" s="2" t="n"/>
      <c r="D1" s="2" t="n"/>
      <c r="E1" s="2" t="n"/>
    </row>
    <row r="2" ht="30" customHeight="1">
      <c r="A2" s="3" t="inlineStr">
        <is>
          <t>Nordtre AS is a 34-person Norwegian furniture company with a D2C webshop, retail partnerships and a B2B contract arm. Fit-for-size is part of the evaluation, not an afterthought.</t>
        </is>
      </c>
    </row>
    <row r="4">
      <c r="A4" s="4" t="inlineStr">
        <is>
          <t>Category</t>
        </is>
      </c>
      <c r="B4" s="4" t="inlineStr">
        <is>
          <t>Platforms explored</t>
        </is>
      </c>
      <c r="C4" s="4" t="inlineStr">
        <is>
          <t>What it offers</t>
        </is>
      </c>
      <c r="D4" s="4" t="inlineStr">
        <is>
          <t>Fit for Nordtre</t>
        </is>
      </c>
      <c r="E4" s="4" t="inlineStr">
        <is>
          <t>Verdict</t>
        </is>
      </c>
    </row>
    <row r="5" ht="64" customHeight="1">
      <c r="A5" s="5" t="inlineStr">
        <is>
          <t>Web analytics</t>
        </is>
      </c>
      <c r="B5" s="5" t="inlineStr">
        <is>
          <t>Google Analytics 4</t>
        </is>
      </c>
      <c r="C5" s="6" t="inlineStr">
        <is>
          <t>Sessions, unique users, time on page, bounce rate, traffic source, funnel and conversion events. Integrates with ad platforms and can report KPIs automatically.</t>
        </is>
      </c>
      <c r="D5" s="6" t="inlineStr">
        <is>
          <t>Strong fit. Free at Nordtre's volume, and the D2C channel is the one KPI area with a genuine traffic question.</t>
        </is>
      </c>
      <c r="E5" s="6" t="inlineStr">
        <is>
          <t>ADOPT - primary source for traffic</t>
        </is>
      </c>
    </row>
    <row r="6" ht="64" customHeight="1">
      <c r="A6" s="5" t="inlineStr">
        <is>
          <t>CRM</t>
        </is>
      </c>
      <c r="B6" s="5" t="inlineStr">
        <is>
          <t>Salesforce, HubSpot</t>
        </is>
      </c>
      <c r="C6" s="6" t="inlineStr">
        <is>
          <t>Pipeline value, deal stage, win rate, average deal size, sales cycle length, customer acquisition cost. Built-in analytics and custom dashboards.</t>
        </is>
      </c>
      <c r="D6" s="6" t="inlineStr">
        <is>
          <t>HubSpot fits the 140-account B2B arm. Salesforce is built for far larger sales organisations and would cost more in configuration than Nordtre would recover.</t>
        </is>
      </c>
      <c r="E6" s="6" t="inlineStr">
        <is>
          <t>ADOPT HubSpot - reject Salesforce on scale</t>
        </is>
      </c>
    </row>
    <row r="7" ht="64" customHeight="1">
      <c r="A7" s="5" t="inlineStr">
        <is>
          <t>HRM</t>
        </is>
      </c>
      <c r="B7" s="5" t="inlineStr">
        <is>
          <t>Workday, SAP SuccessFactors</t>
        </is>
      </c>
      <c r="C7" s="6" t="inlineStr">
        <is>
          <t>Turnover rate, average time to hire, training cost per head, headcount history, review cycles. Real-time monitoring.</t>
        </is>
      </c>
      <c r="D7" s="6" t="inlineStr">
        <is>
          <t>Both are enterprise platforms sized for thousands of employees. At 34 staff the same KPIs come from the Norwegian payroll system plus a maintained leavers register.</t>
        </is>
      </c>
      <c r="E7" s="6" t="inlineStr">
        <is>
          <t>REJECT on scale - use payroll plus a register</t>
        </is>
      </c>
    </row>
    <row r="8" ht="64" customHeight="1">
      <c r="A8" s="5" t="inlineStr">
        <is>
          <t>Financial</t>
        </is>
      </c>
      <c r="B8" s="5" t="inlineStr">
        <is>
          <t>QuickBooks, Sage</t>
        </is>
      </c>
      <c r="C8" s="6" t="inlineStr">
        <is>
          <t>Revenue growth rate, net profit margin, cash conversion cycle, cost lines. Real-time dashboards.</t>
        </is>
      </c>
      <c r="D8" s="6" t="inlineStr">
        <is>
          <t>Good fit in principle. In Norway the practical equivalent is Tripletex or Fiken, which handle MVA and SAF-T reporting that QuickBooks does not.</t>
        </is>
      </c>
      <c r="E8" s="6" t="inlineStr">
        <is>
          <t>ADOPT the local equivalent</t>
        </is>
      </c>
    </row>
    <row r="9" ht="64" customHeight="1">
      <c r="A9" s="5" t="inlineStr">
        <is>
          <t>Custom in-house</t>
        </is>
      </c>
      <c r="B9" s="5" t="inlineStr">
        <is>
          <t>Purpose-built scripts or apps</t>
        </is>
      </c>
      <c r="C9" s="6" t="inlineStr">
        <is>
          <t>Anything the standard platforms do not cover, pulling from several systems at once.</t>
        </is>
      </c>
      <c r="D9" s="6" t="inlineStr">
        <is>
          <t>Needed for CAC, which requires customer counts from the CRM and spend from finance and the ad platforms. No single tool holds both.</t>
        </is>
      </c>
      <c r="E9" s="6" t="inlineStr">
        <is>
          <t>BUILD a small reconciliation job</t>
        </is>
      </c>
    </row>
    <row r="11">
      <c r="A11" s="7" t="inlineStr">
        <is>
          <t>What the exploration actually revealed</t>
        </is>
      </c>
      <c r="B11" s="8" t="n"/>
      <c r="C11" s="8" t="n"/>
      <c r="D11" s="8" t="n"/>
      <c r="E11" s="8" t="n"/>
    </row>
    <row r="12" ht="62" customHeight="1">
      <c r="A12" s="3" t="inlineStr">
        <is>
          <t>The named platforms are enterprise tools. Two of the four are the wrong size for a 34-person company, and one is the wrong jurisdiction. That is a legitimate finding rather than a failure to complete the step: choosing a tool is a decision with a cost, and 'the KPI is available in Workday' is not a reason to buy Workday. The KPI definition matters more than the platform - turnover is departures over average headcount whether it is computed by SAP or in a spreadsheet, and the definition is what drifts.</t>
        </is>
      </c>
    </row>
  </sheetData>
  <mergeCells count="2">
    <mergeCell ref="A2:E2"/>
    <mergeCell ref="A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min="1" max="1"/>
    <col width="18" customWidth="1" min="2" max="2"/>
    <col width="40" customWidth="1" min="3" max="3"/>
    <col width="46" customWidth="1" min="4" max="4"/>
  </cols>
  <sheetData>
    <row r="1" ht="20" customHeight="1">
      <c r="A1" s="1" t="inlineStr">
        <is>
          <t>Step 1 practical - Quantitative KPI: D2C website conversion rate</t>
        </is>
      </c>
      <c r="B1" s="2" t="n"/>
      <c r="C1" s="2" t="n"/>
      <c r="D1" s="2" t="n"/>
    </row>
    <row r="2">
      <c r="A2" s="3" t="inlineStr">
        <is>
          <t>Tool: Google Analytics 4 for sessions. Order system for orders. Two sources on purpose, so the figure can be reconciled.</t>
        </is>
      </c>
    </row>
    <row r="4">
      <c r="A4" s="4" t="inlineStr">
        <is>
          <t>Measure</t>
        </is>
      </c>
      <c r="B4" s="4" t="inlineStr">
        <is>
          <t>Value</t>
        </is>
      </c>
      <c r="C4" s="4" t="inlineStr">
        <is>
          <t>Formula / source</t>
        </is>
      </c>
      <c r="D4" s="4" t="inlineStr">
        <is>
          <t>Note</t>
        </is>
      </c>
    </row>
    <row r="5">
      <c r="A5" s="5" t="inlineStr">
        <is>
          <t>Monthly sessions (GA4)</t>
        </is>
      </c>
      <c r="B5" s="5" t="n">
        <v>21500</v>
      </c>
      <c r="C5" s="5" t="inlineStr">
        <is>
          <t>GA4 - Sessions, last complete month</t>
        </is>
      </c>
      <c r="D5" s="6" t="inlineStr">
        <is>
          <t>Client-side, so lossy</t>
        </is>
      </c>
    </row>
    <row r="6">
      <c r="A6" s="5" t="inlineStr">
        <is>
          <t>Monthly unique users (GA4)</t>
        </is>
      </c>
      <c r="B6" s="5" t="n">
        <v>14800</v>
      </c>
      <c r="C6" s="5" t="inlineStr">
        <is>
          <t>GA4 - Total users</t>
        </is>
      </c>
      <c r="D6" s="6" t="inlineStr">
        <is>
          <t>Reach, not activity</t>
        </is>
      </c>
    </row>
    <row r="7">
      <c r="A7" s="5" t="inlineStr">
        <is>
          <t>Monthly D2C orders (order system)</t>
        </is>
      </c>
      <c r="B7" s="5" t="n">
        <v>250</v>
      </c>
      <c r="C7" s="5" t="inlineStr">
        <is>
          <t>Order system, not GA4</t>
        </is>
      </c>
      <c r="D7" s="6" t="inlineStr">
        <is>
          <t>Authoritative source for orders</t>
        </is>
      </c>
    </row>
    <row r="8">
      <c r="A8" s="5" t="inlineStr">
        <is>
          <t>Monthly D2C orders as GA4 records them</t>
        </is>
      </c>
      <c r="B8" s="5" t="n">
        <v>231</v>
      </c>
      <c r="C8" s="5" t="inlineStr">
        <is>
          <t>GA4 - Purchase events</t>
        </is>
      </c>
      <c r="D8" s="6" t="inlineStr">
        <is>
          <t>8% lower than the order system</t>
        </is>
      </c>
    </row>
    <row r="10">
      <c r="A10" s="9" t="inlineStr">
        <is>
          <t>Conversion rate (order system)</t>
        </is>
      </c>
      <c r="B10" s="10">
        <f>B7/B5*100</f>
        <v/>
      </c>
      <c r="C10" s="5" t="inlineStr">
        <is>
          <t>=Orders / Sessions * 100</t>
        </is>
      </c>
      <c r="D10" s="6" t="inlineStr">
        <is>
          <t>THE KPI. 250 / 21,500 x 100</t>
        </is>
      </c>
    </row>
    <row r="11">
      <c r="A11" s="5" t="inlineStr">
        <is>
          <t>Conversion rate (GA4 purchase events)</t>
        </is>
      </c>
      <c r="B11" s="11">
        <f>B8/B5*100</f>
        <v/>
      </c>
      <c r="C11" s="5" t="inlineStr">
        <is>
          <t>=GA4 orders / Sessions * 100</t>
        </is>
      </c>
      <c r="D11" s="6" t="inlineStr">
        <is>
          <t>What the dashboard would show on its own</t>
        </is>
      </c>
    </row>
    <row r="12">
      <c r="A12" s="9" t="inlineStr">
        <is>
          <t>Discrepancy between the two sources (%)</t>
        </is>
      </c>
      <c r="B12" s="12">
        <f>(B7-B8)/B7*100</f>
        <v/>
      </c>
      <c r="C12" s="5" t="inlineStr">
        <is>
          <t>=(Order system - GA4) / Order system * 100</t>
        </is>
      </c>
      <c r="D12" s="6" t="inlineStr">
        <is>
          <t>Consent refusals and ad blockers. Reconcile, do not average</t>
        </is>
      </c>
    </row>
    <row r="14">
      <c r="A14" s="7" t="inlineStr">
        <is>
          <t>Why two sources rather than one</t>
        </is>
      </c>
      <c r="B14" s="8" t="n"/>
      <c r="C14" s="8" t="n"/>
      <c r="D14" s="8" t="n"/>
    </row>
    <row r="15" ht="62" customHeight="1">
      <c r="A15" s="3" t="inlineStr">
        <is>
          <t>The activity asks you to use a tool to collect the data. Using two independent tools for the same figure is data ensembling in miniature: agreement raises confidence and disagreement locates the problem. Here GA4 records 7.6% fewer purchases than the order system, which is normal and explained by consent refusals and ad blockers. Knowing the size of that gap is what makes the GA4 conversion figure usable; not knowing it is how a KPI quietly understates performance every month.</t>
        </is>
      </c>
    </row>
  </sheetData>
  <mergeCells count="2">
    <mergeCell ref="A15:D1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6" customWidth="1" min="1" max="1"/>
    <col width="14" customWidth="1" min="2" max="2"/>
    <col width="14" customWidth="1" min="3" max="3"/>
    <col width="30" customWidth="1" min="4" max="4"/>
    <col width="44" customWidth="1" min="5" max="5"/>
  </cols>
  <sheetData>
    <row r="1" ht="20" customHeight="1">
      <c r="A1" s="1" t="inlineStr">
        <is>
          <t>Step 2 practical - Qualitative KPI: customer satisfaction, collected by NPS</t>
        </is>
      </c>
      <c r="B1" s="2" t="n"/>
      <c r="C1" s="2" t="n"/>
      <c r="D1" s="2" t="n"/>
      <c r="E1" s="2" t="n"/>
    </row>
    <row r="2">
      <c r="A2" s="3" t="inlineStr">
        <is>
          <t>Post-purchase survey: 'How likely are you to recommend Nordtre to a friend or colleague?' on a 0-10 scale, with one open-text follow-up asking why.</t>
        </is>
      </c>
    </row>
    <row r="4">
      <c r="A4" s="4" t="inlineStr">
        <is>
          <t>Field</t>
        </is>
      </c>
      <c r="B4" s="4" t="inlineStr">
        <is>
          <t>Value</t>
        </is>
      </c>
      <c r="C4" s="4" t="inlineStr"/>
      <c r="D4" s="4" t="inlineStr">
        <is>
          <t>Formula</t>
        </is>
      </c>
      <c r="E4" s="4" t="inlineStr">
        <is>
          <t>Note</t>
        </is>
      </c>
    </row>
    <row r="5">
      <c r="A5" s="5" t="inlineStr">
        <is>
          <t>Surveys sent</t>
        </is>
      </c>
      <c r="B5" s="5" t="n">
        <v>1200</v>
      </c>
      <c r="C5" s="5" t="inlineStr"/>
      <c r="D5" s="5" t="inlineStr">
        <is>
          <t>Post-purchase, one month</t>
        </is>
      </c>
      <c r="E5" s="6" t="inlineStr"/>
    </row>
    <row r="6">
      <c r="A6" s="5" t="inlineStr">
        <is>
          <t>Responses received</t>
        </is>
      </c>
      <c r="B6" s="5" t="n">
        <v>348</v>
      </c>
      <c r="C6" s="5" t="inlineStr"/>
      <c r="D6" s="5" t="inlineStr"/>
      <c r="E6" s="6" t="inlineStr"/>
    </row>
    <row r="7">
      <c r="A7" s="9" t="inlineStr">
        <is>
          <t>Response rate (%)</t>
        </is>
      </c>
      <c r="B7" s="13">
        <f>B6/B5*100</f>
        <v/>
      </c>
      <c r="C7" s="5" t="n"/>
      <c r="D7" s="5" t="inlineStr">
        <is>
          <t>=Responses / Sent * 100</t>
        </is>
      </c>
      <c r="E7" s="6" t="inlineStr">
        <is>
          <t>29% is high for post-purchase. The 71% who did not answer are still a self-selection risk</t>
        </is>
      </c>
    </row>
    <row r="9">
      <c r="A9" s="7" t="inlineStr">
        <is>
          <t>Full 0-10 distribution, kept rather than discarded</t>
        </is>
      </c>
      <c r="B9" s="8" t="n"/>
      <c r="C9" s="8" t="n"/>
      <c r="D9" s="8" t="n"/>
      <c r="E9" s="8" t="n"/>
    </row>
    <row r="10">
      <c r="A10" s="4" t="inlineStr">
        <is>
          <t>Score</t>
        </is>
      </c>
      <c r="B10" s="4" t="inlineStr">
        <is>
          <t>Responses</t>
        </is>
      </c>
      <c r="C10" s="4" t="inlineStr">
        <is>
          <t>Share</t>
        </is>
      </c>
      <c r="D10" s="4" t="inlineStr">
        <is>
          <t>Band</t>
        </is>
      </c>
      <c r="E10" s="4" t="inlineStr">
        <is>
          <t>Note</t>
        </is>
      </c>
    </row>
    <row r="11">
      <c r="A11" s="5" t="n">
        <v>0</v>
      </c>
      <c r="B11" s="5" t="n">
        <v>3</v>
      </c>
      <c r="C11" s="14">
        <f>B11/$B$6*100</f>
        <v/>
      </c>
      <c r="D11" s="5" t="inlineStr">
        <is>
          <t>Detractor</t>
        </is>
      </c>
      <c r="E11" s="5" t="n"/>
    </row>
    <row r="12">
      <c r="A12" s="5" t="n">
        <v>1</v>
      </c>
      <c r="B12" s="5" t="n">
        <v>2</v>
      </c>
      <c r="C12" s="14">
        <f>B12/$B$6*100</f>
        <v/>
      </c>
      <c r="D12" s="5" t="inlineStr">
        <is>
          <t>Detractor</t>
        </is>
      </c>
      <c r="E12" s="5" t="n"/>
    </row>
    <row r="13">
      <c r="A13" s="5" t="n">
        <v>2</v>
      </c>
      <c r="B13" s="5" t="n">
        <v>4</v>
      </c>
      <c r="C13" s="14">
        <f>B13/$B$6*100</f>
        <v/>
      </c>
      <c r="D13" s="5" t="inlineStr">
        <is>
          <t>Detractor</t>
        </is>
      </c>
      <c r="E13" s="5" t="n"/>
    </row>
    <row r="14">
      <c r="A14" s="5" t="n">
        <v>3</v>
      </c>
      <c r="B14" s="5" t="n">
        <v>6</v>
      </c>
      <c r="C14" s="14">
        <f>B14/$B$6*100</f>
        <v/>
      </c>
      <c r="D14" s="5" t="inlineStr">
        <is>
          <t>Detractor</t>
        </is>
      </c>
      <c r="E14" s="5" t="n"/>
    </row>
    <row r="15">
      <c r="A15" s="5" t="n">
        <v>4</v>
      </c>
      <c r="B15" s="5" t="n">
        <v>9</v>
      </c>
      <c r="C15" s="14">
        <f>B15/$B$6*100</f>
        <v/>
      </c>
      <c r="D15" s="5" t="inlineStr">
        <is>
          <t>Detractor</t>
        </is>
      </c>
      <c r="E15" s="5" t="n"/>
    </row>
    <row r="16">
      <c r="A16" s="5" t="n">
        <v>5</v>
      </c>
      <c r="B16" s="5" t="n">
        <v>18</v>
      </c>
      <c r="C16" s="14">
        <f>B16/$B$6*100</f>
        <v/>
      </c>
      <c r="D16" s="5" t="inlineStr">
        <is>
          <t>Detractor</t>
        </is>
      </c>
      <c r="E16" s="5" t="n"/>
    </row>
    <row r="17">
      <c r="A17" s="15" t="n">
        <v>6</v>
      </c>
      <c r="B17" s="15" t="n">
        <v>35</v>
      </c>
      <c r="C17" s="12">
        <f>B17/$B$6*100</f>
        <v/>
      </c>
      <c r="D17" s="15" t="inlineStr">
        <is>
          <t>Detractor</t>
        </is>
      </c>
      <c r="E17" s="15" t="inlineStr">
        <is>
          <t>35 respondents sit ONE POINT from being passive</t>
        </is>
      </c>
    </row>
    <row r="18">
      <c r="A18" s="5" t="n">
        <v>7</v>
      </c>
      <c r="B18" s="5" t="n">
        <v>47</v>
      </c>
      <c r="C18" s="14">
        <f>B18/$B$6*100</f>
        <v/>
      </c>
      <c r="D18" s="5" t="inlineStr">
        <is>
          <t>Passive</t>
        </is>
      </c>
      <c r="E18" s="5" t="n"/>
    </row>
    <row r="19">
      <c r="A19" s="5" t="n">
        <v>8</v>
      </c>
      <c r="B19" s="5" t="n">
        <v>57</v>
      </c>
      <c r="C19" s="14">
        <f>B19/$B$6*100</f>
        <v/>
      </c>
      <c r="D19" s="5" t="inlineStr">
        <is>
          <t>Passive</t>
        </is>
      </c>
      <c r="E19" s="5" t="n"/>
    </row>
    <row r="20">
      <c r="A20" s="5" t="n">
        <v>9</v>
      </c>
      <c r="B20" s="5" t="n">
        <v>72</v>
      </c>
      <c r="C20" s="14">
        <f>B20/$B$6*100</f>
        <v/>
      </c>
      <c r="D20" s="5" t="inlineStr">
        <is>
          <t>Promoter</t>
        </is>
      </c>
      <c r="E20" s="5" t="n"/>
    </row>
    <row r="21">
      <c r="A21" s="5" t="n">
        <v>10</v>
      </c>
      <c r="B21" s="5" t="n">
        <v>95</v>
      </c>
      <c r="C21" s="14">
        <f>B21/$B$6*100</f>
        <v/>
      </c>
      <c r="D21" s="5" t="inlineStr">
        <is>
          <t>Promoter</t>
        </is>
      </c>
      <c r="E21" s="5" t="n"/>
    </row>
    <row r="22">
      <c r="A22" s="16" t="inlineStr">
        <is>
          <t>Total</t>
        </is>
      </c>
      <c r="B22" s="17">
        <f>SUM(B11:B21)</f>
        <v/>
      </c>
      <c r="E22" t="inlineStr">
        <is>
          <t>Must equal responses received</t>
        </is>
      </c>
    </row>
    <row r="24">
      <c r="A24" s="7" t="inlineStr">
        <is>
          <t>NPS calculation</t>
        </is>
      </c>
      <c r="B24" s="8" t="n"/>
      <c r="C24" s="8" t="n"/>
      <c r="D24" s="8" t="n"/>
      <c r="E24" s="8" t="n"/>
    </row>
    <row r="25">
      <c r="A25" s="4" t="inlineStr">
        <is>
          <t>Band</t>
        </is>
      </c>
      <c r="B25" s="4" t="inlineStr">
        <is>
          <t>Responses</t>
        </is>
      </c>
      <c r="C25" s="4" t="inlineStr">
        <is>
          <t>Share (%)</t>
        </is>
      </c>
      <c r="D25" s="4" t="inlineStr">
        <is>
          <t>Formula</t>
        </is>
      </c>
      <c r="E25" s="4" t="inlineStr">
        <is>
          <t>Note</t>
        </is>
      </c>
    </row>
    <row r="26">
      <c r="A26" s="5" t="inlineStr">
        <is>
          <t>Promoters (9-10)</t>
        </is>
      </c>
      <c r="B26" s="5">
        <f>SUM(B20:B21)</f>
        <v/>
      </c>
      <c r="C26" s="14">
        <f>B26/$B$6*100</f>
        <v/>
      </c>
      <c r="D26" s="5" t="n"/>
      <c r="E26" s="5" t="n"/>
    </row>
    <row r="27">
      <c r="A27" s="5" t="inlineStr">
        <is>
          <t>Passives (7-8)</t>
        </is>
      </c>
      <c r="B27" s="5">
        <f>SUM(B18:B19)</f>
        <v/>
      </c>
      <c r="C27" s="14">
        <f>B27/$B$6*100</f>
        <v/>
      </c>
      <c r="D27" s="5" t="n"/>
      <c r="E27" s="5" t="n"/>
    </row>
    <row r="28">
      <c r="A28" s="5" t="inlineStr">
        <is>
          <t>Detractors (0-6)</t>
        </is>
      </c>
      <c r="B28" s="5">
        <f>SUM(B11:B17)</f>
        <v/>
      </c>
      <c r="C28" s="14">
        <f>B28/$B$6*100</f>
        <v/>
      </c>
      <c r="D28" s="5" t="n"/>
      <c r="E28" s="5" t="n"/>
    </row>
    <row r="29">
      <c r="A29" s="9" t="inlineStr">
        <is>
          <t>NPS</t>
        </is>
      </c>
      <c r="B29" s="18">
        <f>C26-C28</f>
        <v/>
      </c>
      <c r="C29" s="5" t="n"/>
      <c r="D29" s="5" t="inlineStr">
        <is>
          <t>=% Promoters - % Detractors</t>
        </is>
      </c>
      <c r="E29" s="5" t="inlineStr">
        <is>
          <t>The headline score</t>
        </is>
      </c>
    </row>
    <row r="30">
      <c r="A30" s="9" t="inlineStr">
        <is>
          <t>Mean score (0-10)</t>
        </is>
      </c>
      <c r="B30" s="19">
        <f>SUMPRODUCT(A11:A21,B11:B21)/B6</f>
        <v/>
      </c>
      <c r="C30" s="5" t="n"/>
      <c r="D30" s="5" t="inlineStr">
        <is>
          <t>=SUMPRODUCT(scores, counts) / responses</t>
        </is>
      </c>
      <c r="E30" s="5" t="inlineStr">
        <is>
          <t>A different summary of the same data. Report both</t>
        </is>
      </c>
    </row>
    <row r="32">
      <c r="A32" s="7" t="inlineStr">
        <is>
          <t>What the banding hides - two sensitivity tests</t>
        </is>
      </c>
      <c r="B32" s="8" t="n"/>
      <c r="C32" s="8" t="n"/>
      <c r="D32" s="8" t="n"/>
      <c r="E32" s="8" t="n"/>
    </row>
    <row r="33">
      <c r="A33" s="4" t="inlineStr">
        <is>
          <t>Scenario</t>
        </is>
      </c>
      <c r="B33" s="4" t="inlineStr">
        <is>
          <t>New NPS</t>
        </is>
      </c>
      <c r="C33" s="4" t="inlineStr">
        <is>
          <t>Change</t>
        </is>
      </c>
      <c r="D33" s="4" t="inlineStr">
        <is>
          <t>What actually happened</t>
        </is>
      </c>
      <c r="E33" s="4" t="inlineStr">
        <is>
          <t>Lesson</t>
        </is>
      </c>
    </row>
    <row r="34" ht="42" customHeight="1">
      <c r="A34" s="5" t="inlineStr">
        <is>
          <t>Every 6 moves to a 7</t>
        </is>
      </c>
      <c r="B34" s="20">
        <f>(SUM(B20:B21)/$B$6*100)-((SUM(B11:B17)-B17)/$B$6*100)</f>
        <v/>
      </c>
      <c r="C34" s="21">
        <f>B34-$B$29</f>
        <v/>
      </c>
      <c r="D34" s="6" t="inlineStr">
        <is>
          <t>35 detractors become passives. Not one new promoter.</t>
        </is>
      </c>
      <c r="E34" s="6" t="inlineStr">
        <is>
          <t>A one-point move across the 6/7 boundary shifts NPS by around 10 points</t>
        </is>
      </c>
    </row>
    <row r="35" ht="42" customHeight="1">
      <c r="A35" s="5" t="inlineStr">
        <is>
          <t>Every 0-5 improves to a 6</t>
        </is>
      </c>
      <c r="B35" s="20">
        <f>(SUM(B20:B21)/$B$6*100)-(SUM(B11:B17)/$B$6*100)</f>
        <v/>
      </c>
      <c r="C35" s="21">
        <f>B35-$B$29</f>
        <v/>
      </c>
      <c r="D35" s="6" t="inlineStr">
        <is>
          <t>42 unhappy customers become much less unhappy.</t>
        </is>
      </c>
      <c r="E35" s="6" t="inlineStr">
        <is>
          <t>NPS does not move at all. Real improvement inside a band is invisible</t>
        </is>
      </c>
    </row>
    <row r="37" ht="50" customHeight="1">
      <c r="A37" s="3" t="inlineStr">
        <is>
          <t>This is why the course text says NPS insight requires qualitative interpretation. The score gives direction only. The open-text follow-up is where the reason lives, and the reason is the part Nordtre can act on. Both sensitivity tests above are computed from the same distribution, which is why keeping the full 0-10 data matters.</t>
        </is>
      </c>
    </row>
  </sheetData>
  <mergeCells count="2">
    <mergeCell ref="A2:E2"/>
    <mergeCell ref="A37:E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2" customWidth="1" min="1" max="1"/>
    <col width="12" customWidth="1" min="2" max="2"/>
    <col width="12" customWidth="1" min="3" max="3"/>
    <col width="12" customWidth="1" min="4" max="4"/>
    <col width="40" customWidth="1" min="5" max="5"/>
  </cols>
  <sheetData>
    <row r="1" ht="20" customHeight="1">
      <c r="A1" s="1" t="inlineStr">
        <is>
          <t>Step 2 explored - Employee engagement, Likert instrument</t>
        </is>
      </c>
      <c r="B1" s="2" t="n"/>
      <c r="C1" s="2" t="n"/>
      <c r="D1" s="2" t="n"/>
      <c r="E1" s="2" t="n"/>
    </row>
    <row r="2" ht="34" customHeight="1">
      <c r="A2" s="3" t="inlineStr">
        <is>
          <t>Explored rather than adopted as the activity's qualitative KPI. Included because Nordtre's turnover finding in Activity 1.1.1 makes engagement the natural early warning, and because it demonstrates the Likert trap numerically.</t>
        </is>
      </c>
    </row>
    <row r="4">
      <c r="A4" s="7" t="inlineStr">
        <is>
          <t>Instrument: eight statements, answered Strongly Disagree to Strongly Agree</t>
        </is>
      </c>
      <c r="B4" s="8" t="n"/>
      <c r="C4" s="8" t="n"/>
      <c r="D4" s="8" t="n"/>
      <c r="E4" s="8" t="n"/>
    </row>
    <row r="5">
      <c r="A5" s="6" t="inlineStr">
        <is>
          <t>1. I understand how my work contributes to what Nordtre is trying to achieve</t>
        </is>
      </c>
    </row>
    <row r="6">
      <c r="A6" s="6" t="inlineStr">
        <is>
          <t>2. I have a clear path to develop in this company</t>
        </is>
      </c>
    </row>
    <row r="7">
      <c r="A7" s="6" t="inlineStr">
        <is>
          <t>3. Workload during launch periods is manageable</t>
        </is>
      </c>
    </row>
    <row r="8">
      <c r="A8" s="6" t="inlineStr">
        <is>
          <t>4. I have the tools and information I need to do my job well</t>
        </is>
      </c>
    </row>
    <row r="9">
      <c r="A9" s="6" t="inlineStr">
        <is>
          <t>5. I can raise a concern without it counting against me</t>
        </is>
      </c>
    </row>
    <row r="10">
      <c r="A10" s="6" t="inlineStr">
        <is>
          <t>6. My manager gives me useful feedback</t>
        </is>
      </c>
    </row>
    <row r="11">
      <c r="A11" s="6" t="inlineStr">
        <is>
          <t>7. I would recommend Nordtre as a place to work</t>
        </is>
      </c>
    </row>
    <row r="12">
      <c r="A12" s="6" t="inlineStr">
        <is>
          <t>8. I expect to be working here in twelve months</t>
        </is>
      </c>
    </row>
    <row r="14">
      <c r="A14" s="7" t="inlineStr">
        <is>
          <t>Worked example - responses to statement 2, 27 of 34 staff answering</t>
        </is>
      </c>
      <c r="B14" s="8" t="n"/>
      <c r="C14" s="8" t="n"/>
      <c r="D14" s="8" t="n"/>
      <c r="E14" s="8" t="n"/>
    </row>
    <row r="15">
      <c r="A15" s="4" t="inlineStr">
        <is>
          <t>Response</t>
        </is>
      </c>
      <c r="B15" s="4" t="inlineStr">
        <is>
          <t>Code</t>
        </is>
      </c>
      <c r="C15" s="4" t="inlineStr">
        <is>
          <t>Count</t>
        </is>
      </c>
      <c r="D15" s="4" t="inlineStr">
        <is>
          <t>Share (%)</t>
        </is>
      </c>
      <c r="E15" s="4" t="inlineStr">
        <is>
          <t>Note</t>
        </is>
      </c>
    </row>
    <row r="16">
      <c r="A16" s="5" t="inlineStr">
        <is>
          <t>Strongly Disagree</t>
        </is>
      </c>
      <c r="B16" s="5" t="n">
        <v>1</v>
      </c>
      <c r="C16" s="5" t="n">
        <v>6</v>
      </c>
      <c r="D16" s="14">
        <f>C16/$C$21*100</f>
        <v/>
      </c>
      <c r="E16" s="5" t="n"/>
    </row>
    <row r="17">
      <c r="A17" s="5" t="inlineStr">
        <is>
          <t>Disagree</t>
        </is>
      </c>
      <c r="B17" s="5" t="n">
        <v>2</v>
      </c>
      <c r="C17" s="5" t="n">
        <v>9</v>
      </c>
      <c r="D17" s="14">
        <f>C17/$C$21*100</f>
        <v/>
      </c>
      <c r="E17" s="5" t="n"/>
    </row>
    <row r="18">
      <c r="A18" s="5" t="inlineStr">
        <is>
          <t>Neutral</t>
        </is>
      </c>
      <c r="B18" s="5" t="n">
        <v>3</v>
      </c>
      <c r="C18" s="5" t="n">
        <v>5</v>
      </c>
      <c r="D18" s="14">
        <f>C18/$C$21*100</f>
        <v/>
      </c>
      <c r="E18" s="5" t="n"/>
    </row>
    <row r="19">
      <c r="A19" s="5" t="inlineStr">
        <is>
          <t>Agree</t>
        </is>
      </c>
      <c r="B19" s="5" t="n">
        <v>4</v>
      </c>
      <c r="C19" s="5" t="n">
        <v>5</v>
      </c>
      <c r="D19" s="14">
        <f>C19/$C$21*100</f>
        <v/>
      </c>
      <c r="E19" s="5" t="n"/>
    </row>
    <row r="20">
      <c r="A20" s="5" t="inlineStr">
        <is>
          <t>Strongly Agree</t>
        </is>
      </c>
      <c r="B20" s="5" t="n">
        <v>5</v>
      </c>
      <c r="C20" s="5" t="n">
        <v>2</v>
      </c>
      <c r="D20" s="14">
        <f>C20/$C$21*100</f>
        <v/>
      </c>
      <c r="E20" s="5" t="n"/>
    </row>
    <row r="21">
      <c r="A21" s="9" t="inlineStr">
        <is>
          <t>Total responses</t>
        </is>
      </c>
      <c r="B21" s="5" t="n"/>
      <c r="C21" s="22">
        <f>SUM(C16:C20)</f>
        <v/>
      </c>
      <c r="D21" s="5" t="n"/>
      <c r="E21" s="5" t="inlineStr">
        <is>
          <t>27 of 34 staff, a 79% response rate</t>
        </is>
      </c>
    </row>
    <row r="23">
      <c r="A23" s="7" t="inlineStr">
        <is>
          <t>Two ways to summarise the same answers</t>
        </is>
      </c>
      <c r="B23" s="8" t="n"/>
      <c r="C23" s="8" t="n"/>
      <c r="D23" s="8" t="n"/>
      <c r="E23" s="8" t="n"/>
    </row>
    <row r="24">
      <c r="A24" s="4" t="inlineStr">
        <is>
          <t>Summary</t>
        </is>
      </c>
      <c r="B24" s="4" t="inlineStr">
        <is>
          <t>Value</t>
        </is>
      </c>
      <c r="C24" s="4" t="inlineStr"/>
      <c r="D24" s="4" t="inlineStr">
        <is>
          <t>Formula</t>
        </is>
      </c>
      <c r="E24" s="4" t="inlineStr">
        <is>
          <t>How it reads to a manager</t>
        </is>
      </c>
    </row>
    <row r="25">
      <c r="A25" s="9" t="inlineStr">
        <is>
          <t>Mean score (out of 5)</t>
        </is>
      </c>
      <c r="B25" s="23">
        <f>SUMPRODUCT(B16:B20,C16:C20)/C21</f>
        <v/>
      </c>
      <c r="C25" s="5" t="n"/>
      <c r="D25" s="5" t="inlineStr">
        <is>
          <t>=SUMPRODUCT(codes, counts) / total</t>
        </is>
      </c>
      <c r="E25" s="6" t="inlineStr">
        <is>
          <t>'2.6 out of 5' - mildly disappointing</t>
        </is>
      </c>
    </row>
    <row r="26">
      <c r="A26" s="9" t="inlineStr">
        <is>
          <t>Bottom-two-box (SD + D)</t>
        </is>
      </c>
      <c r="B26" s="24">
        <f>(C16+C17)/C21*100</f>
        <v/>
      </c>
      <c r="C26" s="5" t="n"/>
      <c r="D26" s="5" t="inlineStr">
        <is>
          <t>=(SD + D) / total * 100</t>
        </is>
      </c>
      <c r="E26" s="6" t="inlineStr">
        <is>
          <t>'56% disagree' - a retention problem</t>
        </is>
      </c>
    </row>
    <row r="27">
      <c r="A27" s="9" t="inlineStr">
        <is>
          <t>Top-two-box (A + SA)</t>
        </is>
      </c>
      <c r="B27" s="24">
        <f>(C19+C20)/C21*100</f>
        <v/>
      </c>
      <c r="C27" s="5" t="n"/>
      <c r="D27" s="5" t="inlineStr">
        <is>
          <t>=(A + SA) / total * 100</t>
        </is>
      </c>
      <c r="E27" s="6" t="inlineStr">
        <is>
          <t>Only a quarter see a path</t>
        </is>
      </c>
    </row>
    <row r="29" ht="60" customHeight="1">
      <c r="A29" s="3" t="inlineStr">
        <is>
          <t>Same 27 answers, two very different messages. A Likert scale is ordinal, so the mean does arithmetic on ranks and pulls the answer toward the middle; the box shares keep the shape of the distribution. Statement 2 is about career progression, which is precisely the contributing factor identified for Nordtre's production turnover in Activity 1.1.1, so this instrument would have flagged it before the departures happened.</t>
        </is>
      </c>
    </row>
  </sheetData>
  <mergeCells count="2">
    <mergeCell ref="A2:E2"/>
    <mergeCell ref="A29:E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38" customWidth="1" min="2" max="2"/>
    <col width="52" customWidth="1" min="3" max="3"/>
    <col width="42" customWidth="1" min="4" max="4"/>
  </cols>
  <sheetData>
    <row r="1" ht="20" customHeight="1">
      <c r="A1" s="1" t="inlineStr">
        <is>
          <t>Why each choice in this activity was made</t>
        </is>
      </c>
      <c r="B1" s="2" t="n"/>
      <c r="C1" s="2" t="n"/>
      <c r="D1" s="2" t="n"/>
    </row>
    <row r="3">
      <c r="A3" s="4" t="inlineStr">
        <is>
          <t>Decision</t>
        </is>
      </c>
      <c r="B3" s="4" t="inlineStr">
        <is>
          <t>What I chose</t>
        </is>
      </c>
      <c r="C3" s="4" t="inlineStr">
        <is>
          <t>Why</t>
        </is>
      </c>
      <c r="D3" s="4" t="inlineStr">
        <is>
          <t>What I rejected, and why</t>
        </is>
      </c>
    </row>
    <row r="4" ht="64" customHeight="1">
      <c r="A4" s="5" t="inlineStr">
        <is>
          <t>Organisation</t>
        </is>
      </c>
      <c r="B4" s="6" t="inlineStr">
        <is>
          <t>Nordtre AS again, carried over from Activity 1.1.1</t>
        </is>
      </c>
      <c r="C4" s="6" t="inlineStr">
        <is>
          <t>Reusing the business means the collection design can be checked against KPIs that already exist, and the engagement instrument can target the turnover cause that activity identified.</t>
        </is>
      </c>
      <c r="D4" s="6" t="inlineStr">
        <is>
          <t>A fresh business: the two activities would then not connect, and Step 4 would have less to reflect on.</t>
        </is>
      </c>
    </row>
    <row r="5" ht="64" customHeight="1">
      <c r="A5" s="5" t="inlineStr">
        <is>
          <t>Quantitative KPI</t>
        </is>
      </c>
      <c r="B5" s="6" t="inlineStr">
        <is>
          <t>D2C website conversion rate</t>
        </is>
      </c>
      <c r="C5" s="6" t="inlineStr">
        <is>
          <t>It is the KPI Activity 1.1.1 identified as the constraint: traffic rose 38% while conversion fell 12%. Collecting it properly is therefore the highest-value measurement Nordtre could set up.</t>
        </is>
      </c>
      <c r="D5" s="6" t="inlineStr">
        <is>
          <t>Sessions or revenue alone: sessions is a vanity metric and revenue is already reliably collected in finance.</t>
        </is>
      </c>
    </row>
    <row r="6" ht="64" customHeight="1">
      <c r="A6" s="5" t="inlineStr">
        <is>
          <t>Quantitative tool</t>
        </is>
      </c>
      <c r="B6" s="6" t="inlineStr">
        <is>
          <t>GA4 for sessions, order system for orders</t>
        </is>
      </c>
      <c r="C6" s="6" t="inlineStr">
        <is>
          <t>Two independent sources for one figure is data ensembling in miniature. It also quantifies GA4's known undercount rather than leaving it as an unknown.</t>
        </is>
      </c>
      <c r="D6" s="6" t="inlineStr">
        <is>
          <t>GA4 alone: its purchase events run 7.6% below the order system here, so conversion would be understated every month.</t>
        </is>
      </c>
    </row>
    <row r="7" ht="64" customHeight="1">
      <c r="A7" s="5" t="inlineStr">
        <is>
          <t>Tool fit</t>
        </is>
      </c>
      <c r="B7" s="6" t="inlineStr">
        <is>
          <t>Rejected Salesforce, Workday and SAP SuccessFactors on scale</t>
        </is>
      </c>
      <c r="C7" s="6" t="inlineStr">
        <is>
          <t>Choosing a tool is a decision with a cost. At 34 employees the same KPIs come from payroll plus a maintained leavers register, and the definition matters more than the platform.</t>
        </is>
      </c>
      <c r="D7" s="6" t="inlineStr">
        <is>
          <t>Adopting the named enterprise tools uncritically: 'the KPI is available in Workday' is not a reason to buy Workday.</t>
        </is>
      </c>
    </row>
    <row r="8" ht="64" customHeight="1">
      <c r="A8" s="5" t="inlineStr">
        <is>
          <t>Qualitative KPI</t>
        </is>
      </c>
      <c r="B8" s="6" t="inlineStr">
        <is>
          <t>Customer satisfaction, collected by NPS plus an open-text follow-up</t>
        </is>
      </c>
      <c r="C8" s="6" t="inlineStr">
        <is>
          <t>The activity names NPS, and the follow-up is what makes it usable: the score gives direction, the text gives the reason, and the reason is what the business can act on.</t>
        </is>
      </c>
      <c r="D8" s="6" t="inlineStr">
        <is>
          <t>NPS alone: the course text itself says the insight requires qualitative interpretation.</t>
        </is>
      </c>
    </row>
    <row r="9" ht="64" customHeight="1">
      <c r="A9" s="5" t="inlineStr">
        <is>
          <t>NPS data retained</t>
        </is>
      </c>
      <c r="B9" s="6" t="inlineStr">
        <is>
          <t>The full 0-10 distribution, not only the three bands</t>
        </is>
      </c>
      <c r="C9" s="6" t="inlineStr">
        <is>
          <t>Banding discards most of the data. Keeping the distribution is what makes both sensitivity tests possible and lets the mean be reported alongside the score.</t>
        </is>
      </c>
      <c r="D9" s="6" t="inlineStr">
        <is>
          <t>Storing only promoter, passive and detractor counts: the two sensitivity findings would be uncomputable.</t>
        </is>
      </c>
    </row>
    <row r="10" ht="64" customHeight="1">
      <c r="A10" s="5" t="inlineStr">
        <is>
          <t>Engagement summary</t>
        </is>
      </c>
      <c r="B10" s="6" t="inlineStr">
        <is>
          <t>Top-two-box and bottom-two-box shares, with the mean shown for contrast</t>
        </is>
      </c>
      <c r="C10" s="6" t="inlineStr">
        <is>
          <t>A Likert scale is ordinal, so the mean does arithmetic on ranks and pulls toward the middle. The same 27 answers read as '2.6 out of 5' or as '56% disagree'.</t>
        </is>
      </c>
      <c r="D10" s="6" t="inlineStr">
        <is>
          <t>The mean alone: it is the standard reporting choice and it understates the problem here.</t>
        </is>
      </c>
    </row>
    <row r="11" ht="64" customHeight="1">
      <c r="A11" s="5" t="inlineStr">
        <is>
          <t>Response rate</t>
        </is>
      </c>
      <c r="B11" s="6" t="inlineStr">
        <is>
          <t>Reported for both instruments</t>
        </is>
      </c>
      <c r="C11" s="6" t="inlineStr">
        <is>
          <t>Self-selection is the standard survey bias, so a score without a response rate cannot be evaluated.</t>
        </is>
      </c>
      <c r="D11" s="6" t="inlineStr">
        <is>
          <t>Reporting the score only: 348 responses could be 29% or 3% of customers, and that changes the reading.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2026-09-07T17:03:57Z</dcterms:created>
  <dcterms:modified xsi:type="dcterms:W3CDTF">2026-09-07T17:03:57Z</dcterms:modified>
</cp:coreProperties>
</file>