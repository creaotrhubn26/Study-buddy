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Profile" sheetId="1" state="visible" r:id="rId1"/>
    <sheet name="Financial KPIs" sheetId="2" state="visible" r:id="rId2"/>
    <sheet name="Non-Financial KPIs" sheetId="3" state="visible" r:id="rId3"/>
    <sheet name="KPI Interactions" sheetId="4" state="visible" r:id="rId4"/>
    <sheet name="Checks" sheetId="5" state="visible" r:id="rId5"/>
    <sheet name="Formula Reference" sheetId="6" state="visible" r:id="rId6"/>
    <sheet name="Method and Rationa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0.0"/>
    <numFmt numFmtId="166" formatCode="0.0&quot;x&quot;"/>
    <numFmt numFmtId="167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DCE6EC"/>
      </patternFill>
    </fill>
    <fill>
      <patternFill patternType="solid">
        <fgColor rgb="002E6E8E"/>
      </patternFill>
    </fill>
    <fill>
      <patternFill patternType="solid">
        <fgColor rgb="00FFF4CE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vertical="center" wrapText="1"/>
    </xf>
    <xf numFmtId="3" fontId="0" fillId="0" borderId="1" pivotButton="0" quotePrefix="0" xfId="0"/>
    <xf numFmtId="3" fontId="2" fillId="5" borderId="1" pivotButton="0" quotePrefix="0" xfId="0"/>
    <xf numFmtId="164" fontId="2" fillId="5" borderId="1" pivotButton="0" quotePrefix="0" xfId="0"/>
    <xf numFmtId="0" fontId="0" fillId="0" borderId="0" applyAlignment="1" pivotButton="0" quotePrefix="0" xfId="0">
      <alignment vertical="top" wrapText="1"/>
    </xf>
    <xf numFmtId="165" fontId="2" fillId="5" borderId="1" pivotButton="0" quotePrefix="0" xfId="0"/>
    <xf numFmtId="3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0" fillId="5" borderId="0" pivotButton="0" quotePrefix="0" xfId="0"/>
    <xf numFmtId="9" fontId="0" fillId="0" borderId="0" pivotButton="0" quotePrefix="0" xfId="0"/>
    <xf numFmtId="166" fontId="2" fillId="5" borderId="1" pivotButton="0" quotePrefix="0" xfId="0"/>
    <xf numFmtId="164" fontId="2" fillId="6" borderId="1" pivotButton="0" quotePrefix="0" xfId="0"/>
    <xf numFmtId="164" fontId="0" fillId="0" borderId="0" pivotButton="0" quotePrefix="0" xfId="0"/>
    <xf numFmtId="167" fontId="0" fillId="5" borderId="0" pivotButton="0" quotePrefix="0" xfId="0"/>
    <xf numFmtId="164" fontId="0" fillId="6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2" fillId="6" borderId="1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40" customWidth="1" min="3" max="3"/>
    <col width="4" customWidth="1" min="4" max="4"/>
  </cols>
  <sheetData>
    <row r="1" ht="20" customHeight="1">
      <c r="A1" s="1" t="inlineStr">
        <is>
          <t>Nordtre AS - Business Profile (hypothetical)</t>
        </is>
      </c>
      <c r="B1" s="2" t="n"/>
      <c r="C1" s="2" t="n"/>
    </row>
    <row r="3">
      <c r="A3" s="3" t="inlineStr">
        <is>
          <t>Business name</t>
        </is>
      </c>
      <c r="B3" s="3" t="inlineStr">
        <is>
          <t>Nordtre AS</t>
        </is>
      </c>
      <c r="C3" s="3" t="inlineStr"/>
      <c r="D3" s="3" t="inlineStr"/>
    </row>
    <row r="4">
      <c r="A4" s="3" t="inlineStr">
        <is>
          <t>Industry</t>
        </is>
      </c>
      <c r="B4" s="3" t="inlineStr">
        <is>
          <t>Sustainable home and office furniture</t>
        </is>
      </c>
      <c r="C4" s="3" t="inlineStr"/>
      <c r="D4" s="3" t="inlineStr"/>
    </row>
    <row r="5">
      <c r="A5" s="3" t="inlineStr">
        <is>
          <t>Founded</t>
        </is>
      </c>
      <c r="B5" s="3" t="inlineStr">
        <is>
          <t>2021, Trondheim, Norway</t>
        </is>
      </c>
      <c r="C5" s="3" t="inlineStr"/>
      <c r="D5" s="3" t="inlineStr"/>
    </row>
    <row r="6">
      <c r="A6" s="3" t="inlineStr">
        <is>
          <t>Products</t>
        </is>
      </c>
      <c r="B6" s="3" t="inlineStr">
        <is>
          <t>Flat-pack desks, shelving and chairs in FSC-certified Norwegian timber</t>
        </is>
      </c>
      <c r="C6" s="3" t="inlineStr">
        <is>
          <t>Plus refinishing and spare-part kits</t>
        </is>
      </c>
      <c r="D6" s="3" t="inlineStr"/>
    </row>
    <row r="7">
      <c r="A7" s="3" t="inlineStr">
        <is>
          <t>Target market</t>
        </is>
      </c>
      <c r="B7" s="3" t="inlineStr">
        <is>
          <t>Urban Norwegian households and small businesses, ages 28-45</t>
        </is>
      </c>
      <c r="C7" s="3" t="inlineStr">
        <is>
          <t>Environmentally motivated, home-office buyers</t>
        </is>
      </c>
      <c r="D7" s="3" t="inlineStr"/>
    </row>
    <row r="8">
      <c r="A8" s="3" t="inlineStr">
        <is>
          <t>Channels</t>
        </is>
      </c>
      <c r="B8" s="3" t="inlineStr">
        <is>
          <t>1) D2C webshop  2) Retail partnerships  3) B2B contract fit-out</t>
        </is>
      </c>
      <c r="C8" s="3" t="inlineStr"/>
      <c r="D8" s="3" t="inlineStr"/>
    </row>
    <row r="9">
      <c r="A9" s="3" t="inlineStr">
        <is>
          <t>Average headcount</t>
        </is>
      </c>
      <c r="B9" s="3" t="n">
        <v>34</v>
      </c>
      <c r="C9" s="3" t="inlineStr">
        <is>
          <t>Production and warehouse 19, design and commercial 15</t>
        </is>
      </c>
      <c r="D9" s="3" t="inlineStr"/>
    </row>
    <row r="10">
      <c r="A10" s="3" t="inlineStr">
        <is>
          <t>Reporting currency</t>
        </is>
      </c>
      <c r="B10" s="3" t="inlineStr">
        <is>
          <t>NOK</t>
        </is>
      </c>
      <c r="C10" s="3" t="inlineStr"/>
      <c r="D10" s="3" t="inlineStr"/>
    </row>
    <row r="11">
      <c r="A11" s="3" t="inlineStr">
        <is>
          <t>Reporting period</t>
        </is>
      </c>
      <c r="B11" s="3" t="inlineStr">
        <is>
          <t>FY2026, compared against FY2025</t>
        </is>
      </c>
      <c r="C11" s="3" t="inlineStr"/>
      <c r="D11" s="3" t="inlineStr"/>
    </row>
    <row r="13">
      <c r="A13" s="4" t="inlineStr">
        <is>
          <t>Why these three channels matter for the KPI analysis</t>
        </is>
      </c>
      <c r="B13" s="5" t="n"/>
      <c r="C13" s="5" t="n"/>
    </row>
    <row r="14">
      <c r="A14" t="inlineStr">
        <is>
          <t>-</t>
        </is>
      </c>
      <c r="B14" t="inlineStr">
        <is>
          <t>The three channels have very different unit economics, so a single blended figure hides more than it shows.</t>
        </is>
      </c>
    </row>
    <row r="15">
      <c r="A15" t="inlineStr">
        <is>
          <t>-</t>
        </is>
      </c>
      <c r="B15" t="inlineStr">
        <is>
          <t>D2C is high volume and low order value. B2B is low volume and high contract value.</t>
        </is>
      </c>
    </row>
    <row r="16">
      <c r="A16" t="inlineStr">
        <is>
          <t>-</t>
        </is>
      </c>
      <c r="B16" t="inlineStr">
        <is>
          <t>Retail partnerships carry the lowest gross margin because the partner takes a share.</t>
        </is>
      </c>
    </row>
    <row r="17">
      <c r="A17" t="inlineStr">
        <is>
          <t>-</t>
        </is>
      </c>
      <c r="B17" t="inlineStr">
        <is>
          <t>Every KPI in this workbook is therefore reported by channel wherever the data allows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  <col width="30" customWidth="1" min="4" max="4"/>
  </cols>
  <sheetData>
    <row r="1" ht="20" customHeight="1">
      <c r="A1" s="1" t="inlineStr">
        <is>
          <t>Financial KPIs - FY2026</t>
        </is>
      </c>
      <c r="B1" s="2" t="n"/>
      <c r="C1" s="2" t="n"/>
      <c r="D1" s="2" t="n"/>
    </row>
    <row r="3">
      <c r="A3" s="6" t="inlineStr">
        <is>
          <t>Description</t>
        </is>
      </c>
      <c r="B3" s="6" t="inlineStr">
        <is>
          <t>Amount (NOK)</t>
        </is>
      </c>
      <c r="C3" s="6" t="inlineStr">
        <is>
          <t>Formula / note</t>
        </is>
      </c>
      <c r="D3" s="6" t="inlineStr">
        <is>
          <t>Evaluation note</t>
        </is>
      </c>
    </row>
    <row r="4">
      <c r="A4" s="4" t="inlineStr">
        <is>
          <t>Step 2a: Sales revenue sources</t>
        </is>
      </c>
      <c r="B4" s="5" t="n"/>
      <c r="C4" s="5" t="n"/>
      <c r="D4" s="5" t="n"/>
    </row>
    <row r="5">
      <c r="A5" s="3" t="inlineStr">
        <is>
          <t>D2C e-commerce</t>
        </is>
      </c>
      <c r="B5" s="7" t="n">
        <v>7200000</v>
      </c>
      <c r="C5" s="3" t="inlineStr">
        <is>
          <t>Own webshop</t>
        </is>
      </c>
      <c r="D5" s="3" t="inlineStr">
        <is>
          <t>3,000 orders x NOK 2,400 AOV</t>
        </is>
      </c>
    </row>
    <row r="6">
      <c r="A6" s="3" t="inlineStr">
        <is>
          <t>Retail partnerships</t>
        </is>
      </c>
      <c r="B6" s="7" t="n">
        <v>6900000</v>
      </c>
      <c r="C6" s="3" t="inlineStr">
        <is>
          <t>Interior stores, wholesale terms</t>
        </is>
      </c>
      <c r="D6" s="3" t="inlineStr"/>
    </row>
    <row r="7">
      <c r="A7" s="3" t="inlineStr">
        <is>
          <t>B2B contract sales</t>
        </is>
      </c>
      <c r="B7" s="7" t="n">
        <v>4300000</v>
      </c>
      <c r="C7" s="3" t="inlineStr">
        <is>
          <t>Office fit-outs for SMEs</t>
        </is>
      </c>
      <c r="D7" s="3" t="inlineStr"/>
    </row>
    <row r="8">
      <c r="A8" s="3" t="inlineStr">
        <is>
          <t>Total Revenue</t>
        </is>
      </c>
      <c r="B8" s="8">
        <f>SUM(B5:B7)</f>
        <v/>
      </c>
      <c r="C8" s="3" t="inlineStr">
        <is>
          <t>=SUM(B5:B7)</t>
        </is>
      </c>
      <c r="D8" s="3" t="inlineStr"/>
    </row>
    <row r="10">
      <c r="A10" s="4" t="inlineStr">
        <is>
          <t>Step 2b: Costs and profit margins</t>
        </is>
      </c>
      <c r="B10" s="5" t="n"/>
      <c r="C10" s="5" t="n"/>
      <c r="D10" s="5" t="n"/>
    </row>
    <row r="11">
      <c r="A11" s="3" t="inlineStr">
        <is>
          <t>Cost of goods sold</t>
        </is>
      </c>
      <c r="B11" s="7" t="n">
        <v>10120000</v>
      </c>
      <c r="C11" s="3" t="inlineStr">
        <is>
          <t>Timber, hardware, manufacturing</t>
        </is>
      </c>
      <c r="D11" s="3" t="inlineStr"/>
    </row>
    <row r="12">
      <c r="A12" s="3" t="inlineStr">
        <is>
          <t>Gross Profit</t>
        </is>
      </c>
      <c r="B12" s="8">
        <f>B8-B11</f>
        <v/>
      </c>
      <c r="C12" s="3" t="inlineStr">
        <is>
          <t>=B8-B11</t>
        </is>
      </c>
      <c r="D12" s="3" t="inlineStr"/>
    </row>
    <row r="13">
      <c r="A13" s="3" t="inlineStr">
        <is>
          <t>Gross Margin (%)</t>
        </is>
      </c>
      <c r="B13" s="9">
        <f>B12/B8*100</f>
        <v/>
      </c>
      <c r="C13" s="3" t="inlineStr">
        <is>
          <t>=B12/B8*100</t>
        </is>
      </c>
      <c r="D13" s="3" t="inlineStr">
        <is>
          <t>The margin the channels actually differ on</t>
        </is>
      </c>
    </row>
    <row r="15">
      <c r="A15" s="3" t="inlineStr">
        <is>
          <t>Marketing</t>
        </is>
      </c>
      <c r="B15" s="7" t="n">
        <v>2300000</v>
      </c>
      <c r="C15" s="3" t="inlineStr">
        <is>
          <t>Brand plus acquisition</t>
        </is>
      </c>
      <c r="D15" s="3" t="inlineStr"/>
    </row>
    <row r="16">
      <c r="A16" s="3" t="inlineStr">
        <is>
          <t>Salaries and personnel</t>
        </is>
      </c>
      <c r="B16" s="7" t="n">
        <v>3100000</v>
      </c>
      <c r="C16" s="3" t="inlineStr"/>
      <c r="D16" s="3" t="inlineStr"/>
    </row>
    <row r="17">
      <c r="A17" s="3" t="inlineStr">
        <is>
          <t>Logistics and fulfilment</t>
        </is>
      </c>
      <c r="B17" s="7" t="n">
        <v>640000</v>
      </c>
      <c r="C17" s="3" t="inlineStr"/>
      <c r="D17" s="3" t="inlineStr"/>
    </row>
    <row r="18">
      <c r="A18" s="3" t="inlineStr">
        <is>
          <t>Other operating costs</t>
        </is>
      </c>
      <c r="B18" s="7" t="n">
        <v>400000</v>
      </c>
      <c r="C18" s="3" t="inlineStr">
        <is>
          <t>Rent, software, insurance</t>
        </is>
      </c>
      <c r="D18" s="3" t="inlineStr"/>
    </row>
    <row r="19">
      <c r="A19" s="3" t="inlineStr">
        <is>
          <t>Total operating expenses</t>
        </is>
      </c>
      <c r="B19" s="8">
        <f>SUM(B15:B18)</f>
        <v/>
      </c>
      <c r="C19" s="3" t="inlineStr">
        <is>
          <t>=SUM(B15:B18)</t>
        </is>
      </c>
      <c r="D19" s="3" t="inlineStr"/>
    </row>
    <row r="20">
      <c r="A20" s="3" t="inlineStr">
        <is>
          <t>Total Expenses</t>
        </is>
      </c>
      <c r="B20" s="8">
        <f>B11+B19</f>
        <v/>
      </c>
      <c r="C20" s="3" t="inlineStr">
        <is>
          <t>=B11+B19</t>
        </is>
      </c>
      <c r="D20" s="3" t="inlineStr"/>
    </row>
    <row r="22">
      <c r="A22" s="3" t="inlineStr">
        <is>
          <t>Operating Profit (EBIT)</t>
        </is>
      </c>
      <c r="B22" s="8">
        <f>B8-B20</f>
        <v/>
      </c>
      <c r="C22" s="3" t="inlineStr">
        <is>
          <t>=B8-B20</t>
        </is>
      </c>
      <c r="D22" s="3" t="inlineStr"/>
    </row>
    <row r="23">
      <c r="A23" s="3" t="inlineStr">
        <is>
          <t>Operating Margin (%)</t>
        </is>
      </c>
      <c r="B23" s="9">
        <f>B22/B8*100</f>
        <v/>
      </c>
      <c r="C23" s="3" t="inlineStr">
        <is>
          <t>=B22/B8*100</t>
        </is>
      </c>
      <c r="D23" s="3" t="inlineStr">
        <is>
          <t>The margin management is judged on</t>
        </is>
      </c>
    </row>
    <row r="24">
      <c r="A24" s="3" t="inlineStr">
        <is>
          <t>Corporate tax at 22%</t>
        </is>
      </c>
      <c r="B24" s="8">
        <f>B22*0.22</f>
        <v/>
      </c>
      <c r="C24" s="3" t="inlineStr">
        <is>
          <t>=B22*0.22</t>
        </is>
      </c>
      <c r="D24" s="3" t="inlineStr"/>
    </row>
    <row r="25">
      <c r="A25" s="3" t="inlineStr">
        <is>
          <t>Net Profit</t>
        </is>
      </c>
      <c r="B25" s="8">
        <f>B22-B24</f>
        <v/>
      </c>
      <c r="C25" s="3" t="inlineStr">
        <is>
          <t>=B22-B24</t>
        </is>
      </c>
      <c r="D25" s="3" t="inlineStr"/>
    </row>
    <row r="26">
      <c r="A26" s="3" t="inlineStr">
        <is>
          <t>Net Margin (%)</t>
        </is>
      </c>
      <c r="B26" s="9">
        <f>B25/B8*100</f>
        <v/>
      </c>
      <c r="C26" s="3" t="inlineStr">
        <is>
          <t>=B25/B8*100</t>
        </is>
      </c>
      <c r="D26" s="3" t="inlineStr">
        <is>
          <t>The margin the owners keep</t>
        </is>
      </c>
    </row>
    <row r="28">
      <c r="A28" s="4" t="inlineStr">
        <is>
          <t>Which margin? All three, because they answer different questions</t>
        </is>
      </c>
      <c r="B28" s="5" t="n"/>
      <c r="C28" s="5" t="n"/>
      <c r="D28" s="5" t="n"/>
    </row>
    <row r="29" ht="30" customHeight="1">
      <c r="A29" s="10" t="inlineStr">
        <is>
          <t>Gross, operating and net margin differ by a factor of nearly six here. Quoting 'profit margin' without naming the variant makes any comparison meaningless.</t>
        </is>
      </c>
    </row>
    <row r="31">
      <c r="A31" s="4" t="inlineStr">
        <is>
          <t>Step 2c: Return on Investment</t>
        </is>
      </c>
      <c r="B31" s="5" t="n"/>
      <c r="C31" s="5" t="n"/>
      <c r="D31" s="5" t="n"/>
    </row>
    <row r="32">
      <c r="A32" s="3" t="inlineStr">
        <is>
          <t>Investment: CNC line and webshop replatform</t>
        </is>
      </c>
      <c r="B32" s="7" t="n">
        <v>3000000</v>
      </c>
      <c r="C32" s="3" t="inlineStr">
        <is>
          <t>Committed Q1 FY2026</t>
        </is>
      </c>
      <c r="D32" s="3" t="inlineStr"/>
    </row>
    <row r="33">
      <c r="A33" s="3" t="inlineStr">
        <is>
          <t>Incremental annual operating profit from it</t>
        </is>
      </c>
      <c r="B33" s="7" t="n">
        <v>780000</v>
      </c>
      <c r="C33" s="3" t="inlineStr">
        <is>
          <t>Attributed to this investment only</t>
        </is>
      </c>
      <c r="D33" s="3" t="inlineStr">
        <is>
          <t>Not total company profit</t>
        </is>
      </c>
    </row>
    <row r="34">
      <c r="A34" s="3" t="inlineStr">
        <is>
          <t>ROI, year 1 (%)</t>
        </is>
      </c>
      <c r="B34" s="9">
        <f>B33/B32*100</f>
        <v/>
      </c>
      <c r="C34" s="3" t="inlineStr">
        <is>
          <t>=B33/B32*100</t>
        </is>
      </c>
      <c r="D34" s="3" t="inlineStr"/>
    </row>
    <row r="35">
      <c r="A35" s="3" t="inlineStr">
        <is>
          <t>Payback period (years)</t>
        </is>
      </c>
      <c r="B35" s="11">
        <f>B32/B33</f>
        <v/>
      </c>
      <c r="C35" s="3" t="inlineStr">
        <is>
          <t>=B32/B33</t>
        </is>
      </c>
      <c r="D35" s="3" t="inlineStr"/>
    </row>
    <row r="36">
      <c r="A36" s="3" t="inlineStr">
        <is>
          <t>Cumulative ROI over 3 years (%)</t>
        </is>
      </c>
      <c r="B36" s="9">
        <f>(B33*3-B32)/B32*100</f>
        <v/>
      </c>
      <c r="C36" s="3" t="inlineStr">
        <is>
          <t>=(B33*3-B32)/B32*100</t>
        </is>
      </c>
      <c r="D36" s="3" t="inlineStr">
        <is>
          <t>Still negative: payback is not yet reached</t>
        </is>
      </c>
    </row>
    <row r="38">
      <c r="A38" s="4" t="inlineStr">
        <is>
          <t>Two deliberate method choices on ROI</t>
        </is>
      </c>
      <c r="B38" s="5" t="n"/>
      <c r="C38" s="5" t="n"/>
      <c r="D38" s="5" t="n"/>
    </row>
    <row r="39" ht="30" customHeight="1">
      <c r="A39" s="10" t="inlineStr">
        <is>
          <t>1. The numerator is the INCREMENTAL profit attributable to the investment, not total company net profit. Dividing whole-business profit by one investment credits that investment with everything the company did.</t>
        </is>
      </c>
    </row>
    <row r="40" ht="30" customHeight="1">
      <c r="A40" s="10" t="inlineStr">
        <is>
          <t>2. Both the one-year and three-year figures are shown. A single-horizon ROI can be made to look like anything, so the horizon must be stated alongside the number.</t>
        </is>
      </c>
    </row>
  </sheetData>
  <mergeCells count="3">
    <mergeCell ref="A29:D29"/>
    <mergeCell ref="A40:D40"/>
    <mergeCell ref="A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0" customHeight="1">
      <c r="A1" s="1" t="inlineStr">
        <is>
          <t>Non-Financial KPIs - FY2026 vs FY2025</t>
        </is>
      </c>
      <c r="B1" s="2" t="n"/>
      <c r="C1" s="2" t="n"/>
      <c r="D1" s="2" t="n"/>
      <c r="E1" s="2" t="n"/>
    </row>
    <row r="3">
      <c r="A3" s="4" t="inlineStr">
        <is>
          <t>Step 3a: Customer Acquisition Cost, by segment</t>
        </is>
      </c>
      <c r="B3" s="5" t="n"/>
      <c r="C3" s="5" t="n"/>
      <c r="D3" s="5" t="n"/>
      <c r="E3" s="5" t="n"/>
    </row>
    <row r="4">
      <c r="A4" s="6" t="inlineStr">
        <is>
          <t>Segment</t>
        </is>
      </c>
      <c r="B4" s="6" t="inlineStr">
        <is>
          <t>FY2026 spend</t>
        </is>
      </c>
      <c r="C4" s="6" t="inlineStr">
        <is>
          <t>FY2026 new customers</t>
        </is>
      </c>
      <c r="D4" s="6" t="inlineStr">
        <is>
          <t>FY2026 CAC</t>
        </is>
      </c>
      <c r="E4" s="6" t="inlineStr">
        <is>
          <t>Note</t>
        </is>
      </c>
    </row>
    <row r="5">
      <c r="A5" s="3" t="inlineStr">
        <is>
          <t>D2C</t>
        </is>
      </c>
      <c r="B5" s="12" t="n">
        <v>890000</v>
      </c>
      <c r="C5" t="n">
        <v>8900</v>
      </c>
      <c r="D5" s="13">
        <f>B5/C5</f>
        <v/>
      </c>
      <c r="E5" t="inlineStr">
        <is>
          <t>Paid social and search</t>
        </is>
      </c>
    </row>
    <row r="6">
      <c r="A6" s="3" t="inlineStr">
        <is>
          <t>B2B contract</t>
        </is>
      </c>
      <c r="B6" s="12" t="n">
        <v>700000</v>
      </c>
      <c r="C6" t="n">
        <v>140</v>
      </c>
      <c r="D6" s="13">
        <f>B6/C6</f>
        <v/>
      </c>
      <c r="E6" t="inlineStr">
        <is>
          <t>Field sales, trade fairs, long cycle</t>
        </is>
      </c>
    </row>
    <row r="7">
      <c r="A7" s="14" t="inlineStr">
        <is>
          <t>Blended</t>
        </is>
      </c>
      <c r="B7" s="12">
        <f>SUM(B5:B6)</f>
        <v/>
      </c>
      <c r="C7">
        <f>SUM(C5:C6)</f>
        <v/>
      </c>
      <c r="D7" s="15">
        <f>B7/C7</f>
        <v/>
      </c>
      <c r="E7" t="inlineStr">
        <is>
          <t>Total spend / total customers, NOT the average of the two CACs</t>
        </is>
      </c>
    </row>
    <row r="9">
      <c r="A9" s="6" t="inlineStr">
        <is>
          <t>Segment</t>
        </is>
      </c>
      <c r="B9" s="6" t="inlineStr">
        <is>
          <t>FY2025 spend</t>
        </is>
      </c>
      <c r="C9" s="6" t="inlineStr">
        <is>
          <t>FY2025 new customers</t>
        </is>
      </c>
      <c r="D9" s="6" t="inlineStr">
        <is>
          <t>FY2025 CAC</t>
        </is>
      </c>
      <c r="E9" s="6" t="inlineStr">
        <is>
          <t>Note</t>
        </is>
      </c>
    </row>
    <row r="10">
      <c r="A10" t="inlineStr">
        <is>
          <t>D2C</t>
        </is>
      </c>
      <c r="B10" s="12" t="n">
        <v>651000</v>
      </c>
      <c r="C10" t="n">
        <v>6200</v>
      </c>
      <c r="D10" s="13">
        <f>B10/C10</f>
        <v/>
      </c>
    </row>
    <row r="11">
      <c r="A11" t="inlineStr">
        <is>
          <t>B2B contract</t>
        </is>
      </c>
      <c r="B11" s="12" t="n">
        <v>924000</v>
      </c>
      <c r="C11" t="n">
        <v>210</v>
      </c>
      <c r="D11" s="13">
        <f>B11/C11</f>
        <v/>
      </c>
    </row>
    <row r="12">
      <c r="A12" s="14" t="inlineStr">
        <is>
          <t>Blended</t>
        </is>
      </c>
      <c r="B12" s="12">
        <f>SUM(B10:B11)</f>
        <v/>
      </c>
      <c r="C12">
        <f>SUM(C10:C11)</f>
        <v/>
      </c>
      <c r="D12" s="15">
        <f>B12/C12</f>
        <v/>
      </c>
    </row>
    <row r="14">
      <c r="A14" s="3" t="inlineStr">
        <is>
          <t>Change in blended CAC (%)</t>
        </is>
      </c>
      <c r="B14" s="9">
        <f>(B7/C7-B12/C12)/(B12/C12)*100</f>
        <v/>
      </c>
      <c r="C14" s="3" t="inlineStr">
        <is>
          <t>=(FY26 CAC - FY25 CAC) / FY25 CAC</t>
        </is>
      </c>
      <c r="D14" s="3" t="inlineStr">
        <is>
          <t>Looks like a large efficiency gain</t>
        </is>
      </c>
    </row>
    <row r="16">
      <c r="A16" s="4" t="inlineStr">
        <is>
          <t>Step 3a continued: lifetime value, because CAC alone is not interpretable</t>
        </is>
      </c>
      <c r="B16" s="5" t="n"/>
      <c r="C16" s="5" t="n"/>
      <c r="D16" s="5" t="n"/>
      <c r="E16" s="5" t="n"/>
    </row>
    <row r="17">
      <c r="A17" s="6" t="inlineStr">
        <is>
          <t>Segment</t>
        </is>
      </c>
      <c r="B17" s="6" t="inlineStr">
        <is>
          <t>Avg order/contract</t>
        </is>
      </c>
      <c r="C17" s="6" t="inlineStr">
        <is>
          <t>Gross margin</t>
        </is>
      </c>
      <c r="D17" s="6" t="inlineStr">
        <is>
          <t>Orders per lifetime</t>
        </is>
      </c>
      <c r="E17" s="6" t="inlineStr">
        <is>
          <t>Lifetime value (NOK)</t>
        </is>
      </c>
    </row>
    <row r="18">
      <c r="A18" t="inlineStr">
        <is>
          <t>D2C</t>
        </is>
      </c>
      <c r="B18" s="12" t="n">
        <v>2400</v>
      </c>
      <c r="C18" s="16" t="n">
        <v>0.45</v>
      </c>
      <c r="D18" t="n">
        <v>1.6</v>
      </c>
      <c r="E18" s="12">
        <f>B18*C18*D18</f>
        <v/>
      </c>
    </row>
    <row r="19">
      <c r="A19" t="inlineStr">
        <is>
          <t>B2B contract</t>
        </is>
      </c>
      <c r="B19" s="12" t="n">
        <v>78000</v>
      </c>
      <c r="C19" s="16" t="n">
        <v>0.38</v>
      </c>
      <c r="D19" t="n">
        <v>2.2</v>
      </c>
      <c r="E19" s="12">
        <f>B19*C19*D19</f>
        <v/>
      </c>
    </row>
    <row r="21">
      <c r="A21" s="3" t="inlineStr">
        <is>
          <t>LTV:CAC ratio, D2C</t>
        </is>
      </c>
      <c r="B21" s="17">
        <f>E18/D5</f>
        <v/>
      </c>
      <c r="C21" s="3" t="inlineStr">
        <is>
          <t>=LTV / CAC</t>
        </is>
      </c>
      <c r="D21" s="3" t="inlineStr">
        <is>
          <t>Healthy is normally above 3x</t>
        </is>
      </c>
    </row>
    <row r="22">
      <c r="A22" s="3" t="inlineStr">
        <is>
          <t>LTV:CAC ratio, B2B</t>
        </is>
      </c>
      <c r="B22" s="17">
        <f>E19/D6</f>
        <v/>
      </c>
      <c r="C22" s="3" t="inlineStr">
        <is>
          <t>=LTV / CAC</t>
        </is>
      </c>
      <c r="D22" s="3" t="inlineStr"/>
    </row>
    <row r="24">
      <c r="A24" s="3" t="inlineStr">
        <is>
          <t>Total lifetime value acquired FY2026</t>
        </is>
      </c>
      <c r="B24" s="8">
        <f>C5*E18+C6*E19</f>
        <v/>
      </c>
      <c r="C24" s="3" t="inlineStr">
        <is>
          <t>=D2C customers x D2C LTV + B2B customers x B2B LTV</t>
        </is>
      </c>
      <c r="D24" s="3" t="inlineStr"/>
    </row>
    <row r="25">
      <c r="A25" s="3" t="inlineStr">
        <is>
          <t>Total lifetime value acquired FY2025</t>
        </is>
      </c>
      <c r="B25" s="8">
        <f>C10*E18+C11*E19</f>
        <v/>
      </c>
      <c r="C25" s="3" t="inlineStr">
        <is>
          <t>Same LTV assumptions applied to FY2025 volumes</t>
        </is>
      </c>
      <c r="D25" s="3" t="inlineStr"/>
    </row>
    <row r="26">
      <c r="A26" s="3" t="inlineStr">
        <is>
          <t>Change in acquired lifetime value (%)</t>
        </is>
      </c>
      <c r="B26" s="18">
        <f>(B24-B25)/B25*100</f>
        <v/>
      </c>
      <c r="C26" s="3" t="inlineStr">
        <is>
          <t>=(FY26 - FY25) / FY25</t>
        </is>
      </c>
      <c r="D26" s="3" t="inlineStr">
        <is>
          <t>THE FINDING: essentially flat</t>
        </is>
      </c>
    </row>
    <row r="28">
      <c r="A28" s="4" t="inlineStr">
        <is>
          <t>Step 3b: Website traffic monitoring</t>
        </is>
      </c>
      <c r="B28" s="5" t="n"/>
      <c r="C28" s="5" t="n"/>
      <c r="D28" s="5" t="n"/>
      <c r="E28" s="5" t="n"/>
    </row>
    <row r="29">
      <c r="A29" s="6" t="inlineStr">
        <is>
          <t>Metric</t>
        </is>
      </c>
      <c r="B29" s="6" t="inlineStr">
        <is>
          <t>FY2026</t>
        </is>
      </c>
      <c r="C29" s="6" t="inlineStr">
        <is>
          <t>FY2025</t>
        </is>
      </c>
      <c r="D29" s="6" t="inlineStr">
        <is>
          <t>Change</t>
        </is>
      </c>
      <c r="E29" s="6" t="inlineStr">
        <is>
          <t>Monitoring strategy</t>
        </is>
      </c>
    </row>
    <row r="30">
      <c r="A30" s="3" t="inlineStr">
        <is>
          <t>Monthly sessions</t>
        </is>
      </c>
      <c r="B30" t="n">
        <v>21500</v>
      </c>
      <c r="C30" t="n">
        <v>15600</v>
      </c>
      <c r="D30" s="19">
        <f>(B30-C30)/C30*100</f>
        <v/>
      </c>
      <c r="E30" t="inlineStr">
        <is>
          <t>GA4, segmented by source: organic, paid, email, referral</t>
        </is>
      </c>
    </row>
    <row r="31">
      <c r="A31" s="3" t="inlineStr">
        <is>
          <t>Monthly unique visitors</t>
        </is>
      </c>
      <c r="B31" t="n">
        <v>14800</v>
      </c>
      <c r="C31" t="n">
        <v>11200</v>
      </c>
      <c r="D31" s="19">
        <f>(B31-C31)/C31*100</f>
        <v/>
      </c>
      <c r="E31" t="inlineStr">
        <is>
          <t>Reach, not activity. Tracked separately from sessions</t>
        </is>
      </c>
    </row>
    <row r="32">
      <c r="A32" s="3" t="inlineStr">
        <is>
          <t>Avg session duration (min)</t>
        </is>
      </c>
      <c r="B32" t="n">
        <v>3.4</v>
      </c>
      <c r="C32" t="n">
        <v>3.9</v>
      </c>
      <c r="D32" s="19">
        <f>(B32-C32)/C32*100</f>
        <v/>
      </c>
      <c r="E32" t="inlineStr">
        <is>
          <t>Falling duration with rising traffic suggests lower intent</t>
        </is>
      </c>
    </row>
    <row r="33">
      <c r="A33" s="3" t="inlineStr">
        <is>
          <t>Monthly D2C orders</t>
        </is>
      </c>
      <c r="B33" t="n">
        <v>250</v>
      </c>
      <c r="C33" t="n">
        <v>207</v>
      </c>
      <c r="D33" s="19">
        <f>(B33-C33)/C33*100</f>
        <v/>
      </c>
      <c r="E33" t="inlineStr">
        <is>
          <t>From the order system, not analytics</t>
        </is>
      </c>
    </row>
    <row r="34">
      <c r="A34" s="14" t="inlineStr">
        <is>
          <t>Conversion rate (%)</t>
        </is>
      </c>
      <c r="B34" s="20">
        <f>B33/B30*100</f>
        <v/>
      </c>
      <c r="C34" s="20">
        <f>C33/C30*100</f>
        <v/>
      </c>
      <c r="D34" s="21">
        <f>(B34-C34)/C34*100</f>
        <v/>
      </c>
      <c r="E34" t="inlineStr">
        <is>
          <t>THE FINDING: traffic up sharply, conversion down. Traffic alone is a vanity metric</t>
        </is>
      </c>
    </row>
    <row r="36">
      <c r="A36" s="4" t="inlineStr">
        <is>
          <t>Step 3c: Employee turnover</t>
        </is>
      </c>
      <c r="B36" s="5" t="n"/>
      <c r="C36" s="5" t="n"/>
      <c r="D36" s="5" t="n"/>
      <c r="E36" s="5" t="n"/>
    </row>
    <row r="37">
      <c r="A37" s="6" t="inlineStr">
        <is>
          <t>Measure</t>
        </is>
      </c>
      <c r="B37" s="6" t="inlineStr">
        <is>
          <t>Departures</t>
        </is>
      </c>
      <c r="C37" s="6" t="inlineStr">
        <is>
          <t>Avg headcount</t>
        </is>
      </c>
      <c r="D37" s="6" t="inlineStr">
        <is>
          <t>Rate (%)</t>
        </is>
      </c>
      <c r="E37" s="6" t="inlineStr">
        <is>
          <t>Note</t>
        </is>
      </c>
    </row>
    <row r="38">
      <c r="A38" s="3" t="inlineStr">
        <is>
          <t>Company total</t>
        </is>
      </c>
      <c r="B38" t="n">
        <v>7</v>
      </c>
      <c r="C38" t="n">
        <v>34</v>
      </c>
      <c r="D38" s="19">
        <f>B38/C38*100</f>
        <v/>
      </c>
      <c r="E38" t="inlineStr">
        <is>
          <t>The headline figure</t>
        </is>
      </c>
    </row>
    <row r="39">
      <c r="A39" s="3" t="inlineStr">
        <is>
          <t>Production and warehouse</t>
        </is>
      </c>
      <c r="B39" t="n">
        <v>5</v>
      </c>
      <c r="C39" t="n">
        <v>19</v>
      </c>
      <c r="D39" s="19">
        <f>B39/C39*100</f>
        <v/>
      </c>
      <c r="E39" t="inlineStr">
        <is>
          <t>Burnout during launch peaks</t>
        </is>
      </c>
    </row>
    <row r="40">
      <c r="A40" s="3" t="inlineStr">
        <is>
          <t>Design and commercial</t>
        </is>
      </c>
      <c r="B40" t="n">
        <v>2</v>
      </c>
      <c r="C40" t="n">
        <v>15</v>
      </c>
      <c r="D40" s="19">
        <f>B40/C40*100</f>
        <v/>
      </c>
      <c r="E40" t="inlineStr">
        <is>
          <t>Low rate, but both were senior designers</t>
        </is>
      </c>
    </row>
    <row r="41">
      <c r="A41" s="3" t="inlineStr">
        <is>
          <t>Regretted departures only</t>
        </is>
      </c>
      <c r="B41" t="n">
        <v>4</v>
      </c>
      <c r="C41" t="n">
        <v>34</v>
      </c>
      <c r="D41" s="21">
        <f>B41/C41*100</f>
        <v/>
      </c>
      <c r="E41" t="inlineStr">
        <is>
          <t>The figure that actually matters</t>
        </is>
      </c>
    </row>
    <row r="43">
      <c r="A43" s="3" t="inlineStr">
        <is>
          <t>Cost per replacement (recruit + train)</t>
        </is>
      </c>
      <c r="B43" s="7" t="n">
        <v>95000</v>
      </c>
      <c r="C43" s="3" t="inlineStr">
        <is>
          <t>Estimate</t>
        </is>
      </c>
      <c r="D43" s="3" t="inlineStr"/>
    </row>
    <row r="44">
      <c r="A44" s="3" t="inlineStr">
        <is>
          <t>Total replacement cost FY2026</t>
        </is>
      </c>
      <c r="B44" s="8">
        <f>B43*B38</f>
        <v/>
      </c>
      <c r="C44" s="3" t="inlineStr">
        <is>
          <t>=cost x departures</t>
        </is>
      </c>
      <c r="D44" s="3" t="inlineStr"/>
    </row>
    <row r="45">
      <c r="A45" s="14" t="inlineStr">
        <is>
          <t>As share of operating profit (%)</t>
        </is>
      </c>
      <c r="B45" s="21">
        <f>B44/'Financial KPIs'!B22*100</f>
        <v/>
      </c>
      <c r="C45" t="inlineStr">
        <is>
          <t>=B44 / Operating Profit x 100</t>
        </is>
      </c>
      <c r="E45" t="inlineStr">
        <is>
          <t>THE LINK: a non-financial KPI priced in financial terms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4" customWidth="1" min="4" max="4"/>
  </cols>
  <sheetData>
    <row r="1" ht="20" customHeight="1">
      <c r="A1" s="1" t="inlineStr">
        <is>
          <t>Step 4: How the KPIs interact</t>
        </is>
      </c>
      <c r="B1" s="2" t="n"/>
      <c r="C1" s="2" t="n"/>
    </row>
    <row r="3">
      <c r="A3" s="6" t="inlineStr">
        <is>
          <t>Interaction</t>
        </is>
      </c>
      <c r="B3" s="6" t="inlineStr">
        <is>
          <t>What the numbers show</t>
        </is>
      </c>
      <c r="C3" s="6" t="inlineStr">
        <is>
          <t>What it means for the business</t>
        </is>
      </c>
    </row>
    <row r="4" ht="58" customHeight="1">
      <c r="A4" s="22" t="inlineStr">
        <is>
          <t>CAC -&gt; mix -&gt; LTV</t>
        </is>
      </c>
      <c r="B4" s="23" t="inlineStr">
        <is>
          <t>Blended CAC fell 28% while total acquired lifetime value was flat (+0.4%) and customer count rose 41%.</t>
        </is>
      </c>
      <c r="C4" s="23" t="inlineStr">
        <is>
          <t>The CAC improvement is a mix artefact. Acquisition shifted toward cheap, low-LTV D2C customers while B2B new accounts fell 33% and B2B CAC rose 14%. The company is working much harder for the same lifetime value.</t>
        </is>
      </c>
    </row>
    <row r="5" ht="58" customHeight="1">
      <c r="A5" s="22" t="inlineStr">
        <is>
          <t>Traffic -&gt; conversion -&gt; revenue</t>
        </is>
      </c>
      <c r="B5" s="23" t="inlineStr">
        <is>
          <t>Sessions rose 38% but conversion fell from 1.33% to 1.16%, so orders rose only 21%. Session duration fell 13%.</t>
        </is>
      </c>
      <c r="C5" s="23" t="inlineStr">
        <is>
          <t>Traffic is being bought faster than it can be converted. Conversion rate is the intermediary KPI; without it, the traffic number reads as growth when it is partly waste.</t>
        </is>
      </c>
    </row>
    <row r="6" ht="58" customHeight="1">
      <c r="A6" s="22" t="inlineStr">
        <is>
          <t>Turnover -&gt; cost -&gt; margin</t>
        </is>
      </c>
      <c r="B6" s="23" t="inlineStr">
        <is>
          <t>7 departures at NOK 95,000 replacement cost is NOK 665,000, equal to 36% of operating profit.</t>
        </is>
      </c>
      <c r="C6" s="23" t="inlineStr">
        <is>
          <t>A non-financial KPI with a direct, quantifiable claim on the financial ones. Reducing regretted turnover is a margin lever, not only an HR matter.</t>
        </is>
      </c>
    </row>
    <row r="7" ht="58" customHeight="1">
      <c r="A7" s="22" t="inlineStr">
        <is>
          <t>Turnover -&gt; product -&gt; D2C revenue</t>
        </is>
      </c>
      <c r="B7" s="23" t="inlineStr">
        <is>
          <t>Design turnover is only 13.3%, but both leavers were senior product designers.</t>
        </is>
      </c>
      <c r="C7" s="23" t="inlineStr">
        <is>
          <t>The low departmental rate hides the risk. The product pipeline feeds D2C revenue, so this is a leading indicator of a future revenue problem.</t>
        </is>
      </c>
    </row>
    <row r="8" ht="58" customHeight="1">
      <c r="A8" s="22" t="inlineStr">
        <is>
          <t>Margin variant -&gt; decision</t>
        </is>
      </c>
      <c r="B8" s="23" t="inlineStr">
        <is>
          <t>Gross 45.0%, operating 10.0%, net 7.8%.</t>
        </is>
      </c>
      <c r="C8" s="23" t="inlineStr">
        <is>
          <t>Any target, bonus or channel comparison stated as 'profit margin' is ambiguous until the variant is named. The three differ by nearly six times.</t>
        </is>
      </c>
    </row>
    <row r="9" ht="58" customHeight="1">
      <c r="A9" s="22" t="inlineStr">
        <is>
          <t>ROI -&gt; horizon</t>
        </is>
      </c>
      <c r="B9" s="23" t="inlineStr">
        <is>
          <t>Year-1 ROI is 26%, but payback is 3.8 years so cumulative 3-year ROI is still -22%.</t>
        </is>
      </c>
      <c r="C9" s="23" t="inlineStr">
        <is>
          <t>A positive-looking annual ROI can sit on top of an investment that has not yet repaid itself. The horizon must be stated with the number.</t>
        </is>
      </c>
    </row>
    <row r="11">
      <c r="A11" s="4" t="inlineStr">
        <is>
          <t>Most crucial KPIs for Nordtre, with justification</t>
        </is>
      </c>
      <c r="B11" s="5" t="n"/>
      <c r="C11" s="5" t="n"/>
    </row>
    <row r="12">
      <c r="A12" s="6" t="inlineStr">
        <is>
          <t>KPI</t>
        </is>
      </c>
      <c r="B12" s="6" t="inlineStr">
        <is>
          <t>Why it is crucial here</t>
        </is>
      </c>
      <c r="C12" s="6" t="inlineStr">
        <is>
          <t>Why the obvious alternative is weaker</t>
        </is>
      </c>
    </row>
    <row r="13" ht="46" customHeight="1">
      <c r="A13" s="22" t="inlineStr">
        <is>
          <t>Gross margin by channel</t>
        </is>
      </c>
      <c r="B13" s="23" t="inlineStr">
        <is>
          <t>The three channels have different economics, and channel mix is the main driver of blended margin.</t>
        </is>
      </c>
      <c r="C13" s="23" t="inlineStr">
        <is>
          <t>Blended gross margin can stay flat while a profitable channel shrinks and a thin one grows.</t>
        </is>
      </c>
    </row>
    <row r="14" ht="46" customHeight="1">
      <c r="A14" s="22" t="inlineStr">
        <is>
          <t>LTV:CAC by segment</t>
        </is>
      </c>
      <c r="B14" s="23" t="inlineStr">
        <is>
          <t>It is the only form in which acquisition efficiency is interpretable, and it exposes the mix shift.</t>
        </is>
      </c>
      <c r="C14" s="23" t="inlineStr">
        <is>
          <t>Blended CAC moved 28% for reasons that had nothing to do with efficiency.</t>
        </is>
      </c>
    </row>
    <row r="15" ht="46" customHeight="1">
      <c r="A15" s="22" t="inlineStr">
        <is>
          <t>D2C conversion rate</t>
        </is>
      </c>
      <c r="B15" s="23" t="inlineStr">
        <is>
          <t>It is the intermediary between the traffic being paid for and the revenue actually earned.</t>
        </is>
      </c>
      <c r="C15" s="23" t="inlineStr">
        <is>
          <t>Website traffic on its own rose 38% while contributing far less than that to revenue.</t>
        </is>
      </c>
    </row>
    <row r="16" ht="46" customHeight="1">
      <c r="A16" s="22" t="inlineStr">
        <is>
          <t>Regretted turnover in design</t>
        </is>
      </c>
      <c r="B16" s="23" t="inlineStr">
        <is>
          <t>It is a leading indicator for the product pipeline that D2C revenue depends on.</t>
        </is>
      </c>
      <c r="C16" s="23" t="inlineStr">
        <is>
          <t>Company-wide turnover of 20.6% averages away the two departures that matter most.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4" customWidth="1" min="4" max="4"/>
  </cols>
  <sheetData>
    <row r="1" ht="20" customHeight="1">
      <c r="A1" s="1" t="inlineStr">
        <is>
          <t>Reconciliation checks</t>
        </is>
      </c>
      <c r="B1" s="2" t="n"/>
      <c r="C1" s="2" t="n"/>
      <c r="D1" s="2" t="n"/>
    </row>
    <row r="2" ht="30" customHeight="1">
      <c r="A2" s="10" t="inlineStr">
        <is>
          <t>Every check below must read OK. These exist because the most damaging spreadsheet errors are syntactically valid formulas pointing at the wrong cells, which no data-quality rule will catch.</t>
        </is>
      </c>
    </row>
    <row r="4">
      <c r="A4" s="6" t="inlineStr">
        <is>
          <t>Check</t>
        </is>
      </c>
      <c r="B4" s="6" t="inlineStr">
        <is>
          <t>Expected</t>
        </is>
      </c>
      <c r="C4" s="6" t="inlineStr">
        <is>
          <t>Result</t>
        </is>
      </c>
      <c r="D4" s="6" t="inlineStr">
        <is>
          <t>Why this check exists</t>
        </is>
      </c>
    </row>
    <row r="5">
      <c r="A5" s="3" t="inlineStr">
        <is>
          <t>Revenue channels sum to Total Revenue</t>
        </is>
      </c>
      <c r="B5" s="24">
        <f>'Financial KPIs'!B5+'Financial KPIs'!B6+'Financial KPIs'!B7</f>
        <v/>
      </c>
      <c r="C5" s="25">
        <f>IF('Financial KPIs'!B8=B5,"OK","FAIL")</f>
        <v/>
      </c>
      <c r="D5" s="23" t="inlineStr">
        <is>
          <t>Catches a SUM range that misses a row</t>
        </is>
      </c>
    </row>
    <row r="6">
      <c r="A6" s="3" t="inlineStr">
        <is>
          <t>COGS + operating expenses = Total Expenses</t>
        </is>
      </c>
      <c r="B6" s="24">
        <f>'Financial KPIs'!B11+'Financial KPIs'!B19</f>
        <v/>
      </c>
      <c r="C6" s="25">
        <f>IF('Financial KPIs'!B20=B6,"OK","FAIL")</f>
        <v/>
      </c>
      <c r="D6" s="23" t="inlineStr">
        <is>
          <t>Catches double counting between the two cost blocks</t>
        </is>
      </c>
    </row>
    <row r="7">
      <c r="A7" s="3" t="inlineStr">
        <is>
          <t>D2C orders x AOV = D2C revenue</t>
        </is>
      </c>
      <c r="B7" s="24">
        <f>'Non-Financial KPIs'!B33*12*'Non-Financial KPIs'!B18</f>
        <v/>
      </c>
      <c r="C7" s="25">
        <f>IF(ROUND('Financial KPIs'!B5,0)=ROUND(B7,0),"OK","FAIL")</f>
        <v/>
      </c>
      <c r="D7" s="23" t="inlineStr">
        <is>
          <t>Independent route to the same figure, which is data ensembling in miniature</t>
        </is>
      </c>
    </row>
    <row r="8">
      <c r="A8" s="3" t="inlineStr">
        <is>
          <t>Blended CAC is not the average of segment CACs</t>
        </is>
      </c>
      <c r="B8" s="24">
        <f>AVERAGE('Non-Financial KPIs'!D5,'Non-Financial KPIs'!D6)</f>
        <v/>
      </c>
      <c r="C8" s="25">
        <f>IF(ROUND('Non-Financial KPIs'!D7,2)&lt;&gt;ROUND(B8,2),"OK","CHECK")</f>
        <v/>
      </c>
      <c r="D8" s="23" t="inlineStr">
        <is>
          <t>A very common error: averaging two CACs ignores that one segment has 64x the volume</t>
        </is>
      </c>
    </row>
    <row r="9">
      <c r="A9" s="3" t="inlineStr">
        <is>
          <t>Gross margin is above operating margin</t>
        </is>
      </c>
      <c r="B9" s="24" t="inlineStr">
        <is>
          <t>n/a</t>
        </is>
      </c>
      <c r="C9" s="25">
        <f>IF('Financial KPIs'!B13&gt;'Financial KPIs'!B23,"OK","FAIL")</f>
        <v/>
      </c>
      <c r="D9" s="23" t="inlineStr">
        <is>
          <t>Sanity rule: a lower gross than operating margin means a reference error</t>
        </is>
      </c>
    </row>
    <row r="11">
      <c r="A11" s="4" t="inlineStr">
        <is>
          <t>Errors found in the supplied Activity 1.1.1 workbook</t>
        </is>
      </c>
      <c r="B11" s="5" t="n"/>
      <c r="C11" s="5" t="n"/>
      <c r="D11" s="5" t="n"/>
    </row>
    <row r="12">
      <c r="A12" s="6" t="inlineStr">
        <is>
          <t>Cell</t>
        </is>
      </c>
      <c r="B12" s="6" t="inlineStr">
        <is>
          <t>Formula as supplied</t>
        </is>
      </c>
      <c r="C12" s="6" t="inlineStr">
        <is>
          <t>Computes</t>
        </is>
      </c>
      <c r="D12" s="6" t="inlineStr">
        <is>
          <t>Should be</t>
        </is>
      </c>
    </row>
    <row r="13">
      <c r="A13" s="3" t="inlineStr">
        <is>
          <t>'Financial KPIs'!B14 (ROI)</t>
        </is>
      </c>
      <c r="B13" s="3" t="inlineStr">
        <is>
          <t>=B2/B3*100</t>
        </is>
      </c>
      <c r="C13" s="3" t="inlineStr">
        <is>
          <t>Online Sales / Retail Sales = 150%</t>
        </is>
      </c>
      <c r="D13" s="23" t="inlineStr">
        <is>
          <t>=B12/B13*100 -&gt; 133.3%, which is what the report text states</t>
        </is>
      </c>
    </row>
    <row r="14">
      <c r="A14" s="3" t="inlineStr">
        <is>
          <t>'Financial KPIs'!B19 (CAC)</t>
        </is>
      </c>
      <c r="B14" s="3" t="inlineStr">
        <is>
          <t>=B2/B3</t>
        </is>
      </c>
      <c r="C14" s="3" t="inlineStr">
        <is>
          <t>Online Sales / Retail Sales = 1.5</t>
        </is>
      </c>
      <c r="D14" s="23" t="inlineStr">
        <is>
          <t>=B17/B18 -&gt; 30, which is what the report text states</t>
        </is>
      </c>
    </row>
    <row r="16" ht="46" customHeight="1">
      <c r="A16" s="10" t="inlineStr">
        <is>
          <t>Both formulas were copied from the first block without adjusting the cell references. This is a logic error: the syntax is valid, the output is a plausible number, and no data-quality check would flag it. It is exactly the error class that the reconciliation checks above are designed to catch.</t>
        </is>
      </c>
    </row>
  </sheetData>
  <mergeCells count="2">
    <mergeCell ref="A16:D1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34" customWidth="1" min="4" max="4"/>
    <col width="42" customWidth="1" min="5" max="5"/>
  </cols>
  <sheetData>
    <row r="1" ht="20" customHeight="1">
      <c r="A1" s="1" t="inlineStr">
        <is>
          <t>Formula reference - every calculation used, and when to reach for it</t>
        </is>
      </c>
      <c r="B1" s="2" t="n"/>
      <c r="C1" s="2" t="n"/>
      <c r="D1" s="2" t="n"/>
      <c r="E1" s="2" t="n"/>
    </row>
    <row r="2" ht="28" customHeight="1">
      <c r="A2" s="10" t="inlineStr">
        <is>
          <t>The Excel column shows the formula exactly as it appears in this workbook. The General column is the one to memorise, because cell references change between tasks.</t>
        </is>
      </c>
    </row>
    <row r="4">
      <c r="A4" s="6" t="inlineStr">
        <is>
          <t>KPI</t>
        </is>
      </c>
      <c r="B4" s="6" t="inlineStr">
        <is>
          <t>Excel formula used here</t>
        </is>
      </c>
      <c r="C4" s="6" t="inlineStr">
        <is>
          <t>General formula</t>
        </is>
      </c>
      <c r="D4" s="6" t="inlineStr">
        <is>
          <t>Reach for it when</t>
        </is>
      </c>
      <c r="E4" s="6" t="inlineStr">
        <is>
          <t>Most common error</t>
        </is>
      </c>
    </row>
    <row r="5">
      <c r="A5" s="4" t="inlineStr">
        <is>
          <t>REVENUE AND MARGIN</t>
        </is>
      </c>
      <c r="B5" s="5" t="n"/>
      <c r="C5" s="5" t="n"/>
      <c r="D5" s="5" t="n"/>
      <c r="E5" s="5" t="n"/>
    </row>
    <row r="6" ht="32" customHeight="1">
      <c r="A6" s="26" t="inlineStr">
        <is>
          <t>Total revenue</t>
        </is>
      </c>
      <c r="B6" s="27" t="inlineStr">
        <is>
          <t>=SUM(B5:B7)</t>
        </is>
      </c>
      <c r="C6" s="23" t="inlineStr">
        <is>
          <t>Sum of all revenue streams</t>
        </is>
      </c>
      <c r="D6" s="23" t="inlineStr">
        <is>
          <t>Always the starting figure of a financial analysis</t>
        </is>
      </c>
      <c r="E6" s="23" t="inlineStr">
        <is>
          <t>SUM range not extended after a new channel is inserted</t>
        </is>
      </c>
    </row>
    <row r="7" ht="32" customHeight="1">
      <c r="A7" s="26" t="inlineStr">
        <is>
          <t>Gross profit</t>
        </is>
      </c>
      <c r="B7" s="27" t="inlineStr">
        <is>
          <t>=B8-B11</t>
        </is>
      </c>
      <c r="C7" s="23" t="inlineStr">
        <is>
          <t>Revenue - Cost of goods sold</t>
        </is>
      </c>
      <c r="D7" s="23" t="inlineStr">
        <is>
          <t>Judging product or channel profitability</t>
        </is>
      </c>
      <c r="E7" s="23" t="inlineStr">
        <is>
          <t>Putting operating expenses into COGS, which understates gross margin</t>
        </is>
      </c>
    </row>
    <row r="8" ht="32" customHeight="1">
      <c r="A8" s="26" t="inlineStr">
        <is>
          <t>Gross margin %</t>
        </is>
      </c>
      <c r="B8" s="27" t="inlineStr">
        <is>
          <t>=B12/B8*100</t>
        </is>
      </c>
      <c r="C8" s="23" t="inlineStr">
        <is>
          <t>Gross profit / Revenue x 100</t>
        </is>
      </c>
      <c r="D8" s="23" t="inlineStr">
        <is>
          <t>Comparing products, channels or suppliers</t>
        </is>
      </c>
      <c r="E8" s="23" t="inlineStr">
        <is>
          <t>Dividing by COGS instead of revenue</t>
        </is>
      </c>
    </row>
    <row r="9" ht="32" customHeight="1">
      <c r="A9" s="26" t="inlineStr">
        <is>
          <t>Operating profit (EBIT)</t>
        </is>
      </c>
      <c r="B9" s="27" t="inlineStr">
        <is>
          <t>=B8-B20</t>
        </is>
      </c>
      <c r="C9" s="23" t="inlineStr">
        <is>
          <t>Revenue - Total expenses</t>
        </is>
      </c>
      <c r="D9" s="23" t="inlineStr">
        <is>
          <t>Judging how well the company is run</t>
        </is>
      </c>
      <c r="E9" s="23" t="inlineStr">
        <is>
          <t>Forgetting that COGS is part of total expenses, so it is subtracted twice or not at all</t>
        </is>
      </c>
    </row>
    <row r="10" ht="32" customHeight="1">
      <c r="A10" s="26" t="inlineStr">
        <is>
          <t>Operating margin %</t>
        </is>
      </c>
      <c r="B10" s="27" t="inlineStr">
        <is>
          <t>=B22/B8*100</t>
        </is>
      </c>
      <c r="C10" s="23" t="inlineStr">
        <is>
          <t>Operating profit / Revenue x 100</t>
        </is>
      </c>
      <c r="D10" s="23" t="inlineStr">
        <is>
          <t>Management performance, budget targets</t>
        </is>
      </c>
      <c r="E10" s="23" t="inlineStr">
        <is>
          <t>Quoting it as 'profit margin' next to someone else's gross margin</t>
        </is>
      </c>
    </row>
    <row r="11" ht="32" customHeight="1">
      <c r="A11" s="26" t="inlineStr">
        <is>
          <t>Net profit</t>
        </is>
      </c>
      <c r="B11" s="27" t="inlineStr">
        <is>
          <t>=B22-B24</t>
        </is>
      </c>
      <c r="C11" s="23" t="inlineStr">
        <is>
          <t>Operating profit - tax (and interest)</t>
        </is>
      </c>
      <c r="D11" s="23" t="inlineStr">
        <is>
          <t>What the owners actually retain</t>
        </is>
      </c>
      <c r="E11" s="23" t="inlineStr">
        <is>
          <t>Reporting pre-tax profit and calling it net</t>
        </is>
      </c>
    </row>
    <row r="12" ht="32" customHeight="1">
      <c r="A12" s="26" t="inlineStr">
        <is>
          <t>Net margin %</t>
        </is>
      </c>
      <c r="B12" s="27" t="inlineStr">
        <is>
          <t>=B25/B8*100</t>
        </is>
      </c>
      <c r="C12" s="23" t="inlineStr">
        <is>
          <t>Net profit / Revenue x 100</t>
        </is>
      </c>
      <c r="D12" s="23" t="inlineStr">
        <is>
          <t>Bottom-line profitability, investor reporting</t>
        </is>
      </c>
      <c r="E12" s="23" t="inlineStr">
        <is>
          <t>Mixing margin variants inside one comparison</t>
        </is>
      </c>
    </row>
    <row r="13">
      <c r="A13" s="4" t="inlineStr">
        <is>
          <t>INVESTMENT</t>
        </is>
      </c>
      <c r="B13" s="5" t="n"/>
      <c r="C13" s="5" t="n"/>
      <c r="D13" s="5" t="n"/>
      <c r="E13" s="5" t="n"/>
    </row>
    <row r="14" ht="32" customHeight="1">
      <c r="A14" s="26" t="inlineStr">
        <is>
          <t>ROI %</t>
        </is>
      </c>
      <c r="B14" s="27" t="inlineStr">
        <is>
          <t>=B33/B32*100</t>
        </is>
      </c>
      <c r="C14" s="23" t="inlineStr">
        <is>
          <t>Gain from investment / Cost of investment x 100</t>
        </is>
      </c>
      <c r="D14" s="23" t="inlineStr">
        <is>
          <t>Capital allocation decisions</t>
        </is>
      </c>
      <c r="E14" s="23" t="inlineStr">
        <is>
          <t>Using TOTAL company profit as the gain, which credits one investment with everything</t>
        </is>
      </c>
    </row>
    <row r="15" ht="32" customHeight="1">
      <c r="A15" s="26" t="inlineStr">
        <is>
          <t>Payback period</t>
        </is>
      </c>
      <c r="B15" s="27" t="inlineStr">
        <is>
          <t>=B32/B33</t>
        </is>
      </c>
      <c r="C15" s="23" t="inlineStr">
        <is>
          <t>Investment / Annual return</t>
        </is>
      </c>
      <c r="D15" s="23" t="inlineStr">
        <is>
          <t>Always, alongside ROI, to expose the horizon</t>
        </is>
      </c>
      <c r="E15" s="23" t="inlineStr">
        <is>
          <t>Omitting it, so a slow investment looks fast</t>
        </is>
      </c>
    </row>
    <row r="16" ht="32" customHeight="1">
      <c r="A16" s="26" t="inlineStr">
        <is>
          <t>Cumulative ROI %</t>
        </is>
      </c>
      <c r="B16" s="27" t="inlineStr">
        <is>
          <t>=(B33*3-B32)/B32*100</t>
        </is>
      </c>
      <c r="C16" s="23" t="inlineStr">
        <is>
          <t>(Annual return x years - Investment) / Investment x 100</t>
        </is>
      </c>
      <c r="D16" s="23" t="inlineStr">
        <is>
          <t>Multi-year appraisal of one investment</t>
        </is>
      </c>
      <c r="E16" s="23" t="inlineStr">
        <is>
          <t>Assuming an annual ROI simply multiplies or compounds</t>
        </is>
      </c>
    </row>
    <row r="17">
      <c r="A17" s="4" t="inlineStr">
        <is>
          <t>ACQUISITION</t>
        </is>
      </c>
      <c r="B17" s="5" t="n"/>
      <c r="C17" s="5" t="n"/>
      <c r="D17" s="5" t="n"/>
      <c r="E17" s="5" t="n"/>
    </row>
    <row r="18" ht="32" customHeight="1">
      <c r="A18" s="26" t="inlineStr">
        <is>
          <t>CAC</t>
        </is>
      </c>
      <c r="B18" s="27" t="inlineStr">
        <is>
          <t>=B5/C5</t>
        </is>
      </c>
      <c r="C18" s="23" t="inlineStr">
        <is>
          <t>Acquisition spend / New customers acquired</t>
        </is>
      </c>
      <c r="D18" s="23" t="inlineStr">
        <is>
          <t>Evaluating marketing efficiency, per segment</t>
        </is>
      </c>
      <c r="E18" s="23" t="inlineStr">
        <is>
          <t>Using total marketing spend, which includes brand and retention work</t>
        </is>
      </c>
    </row>
    <row r="19" ht="32" customHeight="1">
      <c r="A19" s="26" t="inlineStr">
        <is>
          <t>Blended CAC</t>
        </is>
      </c>
      <c r="B19" s="27" t="inlineStr">
        <is>
          <t>=B7/C7</t>
        </is>
      </c>
      <c r="C19" s="23" t="inlineStr">
        <is>
          <t>TOTAL spend / TOTAL customers</t>
        </is>
      </c>
      <c r="D19" s="23" t="inlineStr">
        <is>
          <t>Only ever alongside the segment figures</t>
        </is>
      </c>
      <c r="E19" s="23" t="inlineStr">
        <is>
          <t>Taking the AVERAGE of segment CACs, which ignores volume differences</t>
        </is>
      </c>
    </row>
    <row r="20" ht="32" customHeight="1">
      <c r="A20" s="26" t="inlineStr">
        <is>
          <t>Lifetime value (LTV)</t>
        </is>
      </c>
      <c r="B20" s="27" t="inlineStr">
        <is>
          <t>=B18*C18*D18</t>
        </is>
      </c>
      <c r="C20" s="23" t="inlineStr">
        <is>
          <t>Avg order value x Gross margin x Purchases per lifetime</t>
        </is>
      </c>
      <c r="D20" s="23" t="inlineStr">
        <is>
          <t>Whenever CAC is reported, since CAC alone is uninterpretable</t>
        </is>
      </c>
      <c r="E20" s="23" t="inlineStr">
        <is>
          <t>Using revenue instead of gross profit, which overstates LTV</t>
        </is>
      </c>
    </row>
    <row r="21" ht="32" customHeight="1">
      <c r="A21" s="26" t="inlineStr">
        <is>
          <t>LTV:CAC ratio</t>
        </is>
      </c>
      <c r="B21" s="27" t="inlineStr">
        <is>
          <t>=E18/D5</t>
        </is>
      </c>
      <c r="C21" s="23" t="inlineStr">
        <is>
          <t>LTV / CAC</t>
        </is>
      </c>
      <c r="D21" s="23" t="inlineStr">
        <is>
          <t>Judging whether acquisition is sustainable (above 3x is the rule of thumb)</t>
        </is>
      </c>
      <c r="E21" s="23" t="inlineStr">
        <is>
          <t>Computing it blended, which hides a mix shift</t>
        </is>
      </c>
    </row>
    <row r="22">
      <c r="A22" s="4" t="inlineStr">
        <is>
          <t>TRAFFIC</t>
        </is>
      </c>
      <c r="B22" s="5" t="n"/>
      <c r="C22" s="5" t="n"/>
      <c r="D22" s="5" t="n"/>
      <c r="E22" s="5" t="n"/>
    </row>
    <row r="23" ht="32" customHeight="1">
      <c r="A23" s="26" t="inlineStr">
        <is>
          <t>Conversion rate %</t>
        </is>
      </c>
      <c r="B23" s="27" t="inlineStr">
        <is>
          <t>=B33/B30*100</t>
        </is>
      </c>
      <c r="C23" s="23" t="inlineStr">
        <is>
          <t>Orders / Sessions x 100</t>
        </is>
      </c>
      <c r="D23" s="23" t="inlineStr">
        <is>
          <t>Every single time website traffic is reported</t>
        </is>
      </c>
      <c r="E23" s="23" t="inlineStr">
        <is>
          <t>Taking orders and sessions from two systems that count differently</t>
        </is>
      </c>
    </row>
    <row r="24">
      <c r="A24" s="4" t="inlineStr">
        <is>
          <t>CHANGE AND RATES</t>
        </is>
      </c>
      <c r="B24" s="5" t="n"/>
      <c r="C24" s="5" t="n"/>
      <c r="D24" s="5" t="n"/>
      <c r="E24" s="5" t="n"/>
    </row>
    <row r="25" ht="32" customHeight="1">
      <c r="A25" s="26" t="inlineStr">
        <is>
          <t>Percentage change</t>
        </is>
      </c>
      <c r="B25" s="27" t="inlineStr">
        <is>
          <t>=(B24-B25)/B25*100</t>
        </is>
      </c>
      <c r="C25" s="23" t="inlineStr">
        <is>
          <t>(New - Old) / Old x 100</t>
        </is>
      </c>
      <c r="D25" s="23" t="inlineStr">
        <is>
          <t>Any period-on-period comparison</t>
        </is>
      </c>
      <c r="E25" s="23" t="inlineStr">
        <is>
          <t>Dividing by the NEW value, which understates the change</t>
        </is>
      </c>
    </row>
    <row r="26" ht="32" customHeight="1">
      <c r="A26" s="26" t="inlineStr">
        <is>
          <t>Employee turnover %</t>
        </is>
      </c>
      <c r="B26" s="27" t="inlineStr">
        <is>
          <t>=B38/C38*100</t>
        </is>
      </c>
      <c r="C26" s="23" t="inlineStr">
        <is>
          <t>Departures / Average headcount x 100</t>
        </is>
      </c>
      <c r="D26" s="23" t="inlineStr">
        <is>
          <t>Organisational health, segmented by team and by regretted status</t>
        </is>
      </c>
      <c r="E26" s="23" t="inlineStr">
        <is>
          <t>Using closing headcount instead of average, which distorts a growing company</t>
        </is>
      </c>
    </row>
    <row r="27" ht="32" customHeight="1">
      <c r="A27" s="26" t="inlineStr">
        <is>
          <t>Cost as share of profit %</t>
        </is>
      </c>
      <c r="B27" s="27" t="inlineStr">
        <is>
          <t>=B44/'Financial KPIs'!B22*100</t>
        </is>
      </c>
      <c r="C27" s="23" t="inlineStr">
        <is>
          <t>Cost / Operating profit x 100</t>
        </is>
      </c>
      <c r="D27" s="23" t="inlineStr">
        <is>
          <t>Pricing a non-financial problem in financial terms</t>
        </is>
      </c>
      <c r="E27" s="23" t="inlineStr">
        <is>
          <t>Expressing it against revenue, which makes it look trivially small</t>
        </is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2" customWidth="1" min="3" max="3"/>
    <col width="42" customWidth="1" min="4" max="4"/>
  </cols>
  <sheetData>
    <row r="1" ht="20" customHeight="1">
      <c r="A1" s="1" t="inlineStr">
        <is>
          <t>Why each figure in this workbook was calculated the way it was</t>
        </is>
      </c>
      <c r="B1" s="2" t="n"/>
      <c r="C1" s="2" t="n"/>
      <c r="D1" s="2" t="n"/>
    </row>
    <row r="2" ht="28" customHeight="1">
      <c r="A2" s="10" t="inlineStr">
        <is>
          <t>An evaluation is only checkable if the reasoning behind each choice is written down. This sheet records every methodological decision, the alternative that was rejected, and why.</t>
        </is>
      </c>
    </row>
    <row r="4">
      <c r="A4" s="6" t="inlineStr">
        <is>
          <t>Decision</t>
        </is>
      </c>
      <c r="B4" s="6" t="inlineStr">
        <is>
          <t>What I chose</t>
        </is>
      </c>
      <c r="C4" s="6" t="inlineStr">
        <is>
          <t>Why</t>
        </is>
      </c>
      <c r="D4" s="6" t="inlineStr">
        <is>
          <t>What I rejected, and why</t>
        </is>
      </c>
    </row>
    <row r="5" ht="62" customHeight="1">
      <c r="A5" s="22" t="inlineStr">
        <is>
          <t>Business design</t>
        </is>
      </c>
      <c r="B5" s="23" t="inlineStr">
        <is>
          <t>Three channels with deliberately different unit economics</t>
        </is>
      </c>
      <c r="C5" s="23" t="inlineStr">
        <is>
          <t>A single-channel business makes every blended KPI correct by accident. The whole point of the activity is that blended figures hide things, which only shows up when the underlying segments differ.</t>
        </is>
      </c>
      <c r="D5" s="23" t="inlineStr">
        <is>
          <t>One channel: the analysis in Step 4 would have had nothing to find.</t>
        </is>
      </c>
    </row>
    <row r="6" ht="62" customHeight="1">
      <c r="A6" s="22" t="inlineStr">
        <is>
          <t>Which profit margin</t>
        </is>
      </c>
      <c r="B6" s="23" t="inlineStr">
        <is>
          <t>Reported all three: gross 45.0%, operating 10.0%, net 7.8%</t>
        </is>
      </c>
      <c r="C6" s="23" t="inlineStr">
        <is>
          <t>The lesson states that a higher margin means more is retained per unit earned, but 'profit margin' is ambiguous. Showing all three makes the ambiguity concrete: they differ by nearly six times here.</t>
        </is>
      </c>
      <c r="D6" s="23" t="inlineStr">
        <is>
          <t>A single 'profit margin' figure: it would be unusable for any comparison, and picking the flattering one is selective evaluation.</t>
        </is>
      </c>
    </row>
    <row r="7" ht="62" customHeight="1">
      <c r="A7" s="22" t="inlineStr">
        <is>
          <t>ROI numerator</t>
        </is>
      </c>
      <c r="B7" s="23" t="inlineStr">
        <is>
          <t>Incremental operating profit attributable to the investment (NOK 780,000)</t>
        </is>
      </c>
      <c r="C7" s="23" t="inlineStr">
        <is>
          <t>ROI measures the return of a specific investment. Only profit caused by that investment belongs in the numerator.</t>
        </is>
      </c>
      <c r="D7" s="23" t="inlineStr">
        <is>
          <t>Total company net profit divided by the investment: this credits one machine with revenue the whole company generated. It is the most common way a reported ROI is inflated.</t>
        </is>
      </c>
    </row>
    <row r="8" ht="62" customHeight="1">
      <c r="A8" s="22" t="inlineStr">
        <is>
          <t>ROI horizon</t>
        </is>
      </c>
      <c r="B8" s="23" t="inlineStr">
        <is>
          <t>Year-1 ROI, payback period, and cumulative 3-year ROI together</t>
        </is>
      </c>
      <c r="C8" s="23" t="inlineStr">
        <is>
          <t>Year 1 shows +26% while the cumulative 3-year figure is -22%, because payback is 3.85 years. Both are arithmetically correct, so quoting only one is a choice that changes the decision.</t>
        </is>
      </c>
      <c r="D8" s="23" t="inlineStr">
        <is>
          <t>A single ROI figure: an ROI without a stated horizon is not an evaluable number.</t>
        </is>
      </c>
    </row>
    <row r="9" ht="62" customHeight="1">
      <c r="A9" s="22" t="inlineStr">
        <is>
          <t>CAC granularity</t>
        </is>
      </c>
      <c r="B9" s="23" t="inlineStr">
        <is>
          <t>CAC per segment first, blended second and clearly labelled</t>
        </is>
      </c>
      <c r="C9" s="23" t="inlineStr">
        <is>
          <t>D2C CAC is NOK 100 and B2B is NOK 5,000. A blended figure describes neither customer and moves whenever the mix moves, independently of any efficiency change.</t>
        </is>
      </c>
      <c r="D9" s="23" t="inlineStr">
        <is>
          <t>Blended CAC as the headline: it fell 28% this year for reasons unrelated to marketing performance.</t>
        </is>
      </c>
    </row>
    <row r="10" ht="62" customHeight="1">
      <c r="A10" s="22" t="inlineStr">
        <is>
          <t>Blended CAC method</t>
        </is>
      </c>
      <c r="B10" s="23" t="inlineStr">
        <is>
          <t>Total spend divided by total customers</t>
        </is>
      </c>
      <c r="C10" s="23" t="inlineStr">
        <is>
          <t>This is the only correct way to blend. The segments have very different volumes, so they must be weighted by customer count.</t>
        </is>
      </c>
      <c r="D10" s="23" t="inlineStr">
        <is>
          <t>The average of the two segment CACs (NOK 2,550): wrong by a factor of fourteen, because it treats 8,900 and 140 customers as equally important. A reconciliation check on the Checks sheet tests for this.</t>
        </is>
      </c>
    </row>
    <row r="11" ht="62" customHeight="1">
      <c r="A11" s="22" t="inlineStr">
        <is>
          <t>Adding LTV</t>
        </is>
      </c>
      <c r="B11" s="23" t="inlineStr">
        <is>
          <t>Lifetime value per segment, and the LTV:CAC ratio</t>
        </is>
      </c>
      <c r="C11" s="23" t="inlineStr">
        <is>
          <t>The lesson states that a low CAC relative to lifetime value indicates a healthy business model, so CAC is defined relative to LTV. Without it, a falling CAC cannot be told apart from a shift to cheaper, less valuable customers.</t>
        </is>
      </c>
      <c r="D11" s="23" t="inlineStr">
        <is>
          <t>Reporting CAC alone: the activity would then have concluded 'CAC improved', which the data does not support.</t>
        </is>
      </c>
    </row>
    <row r="12" ht="62" customHeight="1">
      <c r="A12" s="22" t="inlineStr">
        <is>
          <t>LTV formula</t>
        </is>
      </c>
      <c r="B12" s="23" t="inlineStr">
        <is>
          <t>Average order value x GROSS MARGIN x purchases per lifetime</t>
        </is>
      </c>
      <c r="C12" s="23" t="inlineStr">
        <is>
          <t>Lifetime value should represent contribution, not turnover. Using gross margin makes LTV comparable to CAC, which is also a cost.</t>
        </is>
      </c>
      <c r="D12" s="23" t="inlineStr">
        <is>
          <t>Average order value x purchases: this overstates LTV by more than double here and would make any LTV:CAC ratio meaningless.</t>
        </is>
      </c>
    </row>
    <row r="13" ht="62" customHeight="1">
      <c r="A13" s="22" t="inlineStr">
        <is>
          <t>The CAC finding</t>
        </is>
      </c>
      <c r="B13" s="23" t="inlineStr">
        <is>
          <t>Compared total lifetime value acquired across both years, holding LTV assumptions constant</t>
        </is>
      </c>
      <c r="C13" s="23" t="inlineStr">
        <is>
          <t>Holding LTV constant isolates the effect of the MIX change. Total acquired value was flat (+0.4%) while customer count rose 41% and blended CAC fell 28%, which proves the CAC improvement is a mix artefact.</t>
        </is>
      </c>
      <c r="D13" s="23" t="inlineStr">
        <is>
          <t>Comparing blended CAC alone: it would have supported the opposite conclusion.</t>
        </is>
      </c>
    </row>
    <row r="14" ht="62" customHeight="1">
      <c r="A14" s="22" t="inlineStr">
        <is>
          <t>Traffic metrics</t>
        </is>
      </c>
      <c r="B14" s="23" t="inlineStr">
        <is>
          <t>Sessions, unique visitors and session duration tracked separately, plus conversion rate</t>
        </is>
      </c>
      <c r="C14" s="23" t="inlineStr">
        <is>
          <t>The lesson names distinctive visitors, page views and average session duration as separate insights. They measure reach, activity and depth, and here they move by different amounts.</t>
        </is>
      </c>
      <c r="D14" s="23" t="inlineStr">
        <is>
          <t>A single 'traffic' number: it rose 38% while orders rose 21%, so the single number would have read as growth that did not happen.</t>
        </is>
      </c>
    </row>
    <row r="15" ht="62" customHeight="1">
      <c r="A15" s="22" t="inlineStr">
        <is>
          <t>Order source</t>
        </is>
      </c>
      <c r="B15" s="23" t="inlineStr">
        <is>
          <t>Orders taken from the order system, not from web analytics</t>
        </is>
      </c>
      <c r="C15" s="23" t="inlineStr">
        <is>
          <t>Two independent sources for the same figure is data ensembling in miniature. Agreement raises confidence and disagreement locates a tagging error.</t>
        </is>
      </c>
      <c r="D15" s="23" t="inlineStr">
        <is>
          <t>Analytics-only conversion tracking: it is lossy, and a single source cannot be reconciled against anything.</t>
        </is>
      </c>
    </row>
    <row r="16" ht="62" customHeight="1">
      <c r="A16" s="22" t="inlineStr">
        <is>
          <t>Turnover granularity</t>
        </is>
      </c>
      <c r="B16" s="23" t="inlineStr">
        <is>
          <t>Company total, by department, and regretted-only</t>
        </is>
      </c>
      <c r="C16" s="23" t="inlineStr">
        <is>
          <t>The company figure of 20.6% and the design figure of 13.3% both hide that the two design leavers were senior product designers feeding the D2C pipeline.</t>
        </is>
      </c>
      <c r="D16" s="23" t="inlineStr">
        <is>
          <t>Headline turnover alone: it averages away exactly the departures that carry the business risk.</t>
        </is>
      </c>
    </row>
    <row r="17" ht="62" customHeight="1">
      <c r="A17" s="22" t="inlineStr">
        <is>
          <t>Turnover denominator</t>
        </is>
      </c>
      <c r="B17" s="23" t="inlineStr">
        <is>
          <t>Average headcount over the period</t>
        </is>
      </c>
      <c r="C17" s="23" t="inlineStr">
        <is>
          <t>Standard practice, and it does not distort when headcount changes during the year.</t>
        </is>
      </c>
      <c r="D17" s="23" t="inlineStr">
        <is>
          <t>Closing headcount: in a growing company this understates turnover, and in a shrinking one it overstates it.</t>
        </is>
      </c>
    </row>
    <row r="18" ht="62" customHeight="1">
      <c r="A18" s="22" t="inlineStr">
        <is>
          <t>Pricing turnover</t>
        </is>
      </c>
      <c r="B18" s="23" t="inlineStr">
        <is>
          <t>Replacement cost expressed as a share of OPERATING PROFIT (36.1%)</t>
        </is>
      </c>
      <c r="C18" s="23" t="inlineStr">
        <is>
          <t>It converts an HR metric into a number a finance audience must act on, and it demonstrates the interaction the activity asks for in Step 4.</t>
        </is>
      </c>
      <c r="D18" s="23" t="inlineStr">
        <is>
          <t>Expressing it as a share of revenue (3.6%): arithmetically fine and rhetorically useless, since it makes a material cost look trivial.</t>
        </is>
      </c>
    </row>
    <row r="19" ht="62" customHeight="1">
      <c r="A19" s="22" t="inlineStr">
        <is>
          <t>Reconciliation checks</t>
        </is>
      </c>
      <c r="B19" s="23" t="inlineStr">
        <is>
          <t>Five independent checks that must all read OK</t>
        </is>
      </c>
      <c r="C19" s="23" t="inlineStr">
        <is>
          <t>The most damaging spreadsheet errors are syntactically valid formulas pointing at the wrong cells. No data-quality rule catches them; only reconciling against an independent route does.</t>
        </is>
      </c>
      <c r="D19" s="23" t="inlineStr">
        <is>
          <t>Trusting the formulas because they return plausible numbers: this is precisely how the two errors in the supplied activity workbook survived.</t>
        </is>
      </c>
    </row>
    <row r="20" ht="62" customHeight="1">
      <c r="A20" s="22" t="inlineStr">
        <is>
          <t>Documentation notes</t>
        </is>
      </c>
      <c r="B20" s="23" t="inlineStr">
        <is>
          <t>Stored as literal text, not as live formulas</t>
        </is>
      </c>
      <c r="C20" s="23" t="inlineStr">
        <is>
          <t>A note reading '=B8-B11' assigned normally becomes a live formula and silently computes something wrong. Every documentation cell here is forced to text type.</t>
        </is>
      </c>
      <c r="D20" s="23" t="inlineStr">
        <is>
          <t>Writing notes normally: an early draft of this workbook had 15 documentation cells silently evaluating as formulas.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2026-09-07T16:34:29Z</dcterms:created>
  <dcterms:modified xsi:type="dcterms:W3CDTF">2026-09-07T16:34:29Z</dcterms:modified>
</cp:coreProperties>
</file>