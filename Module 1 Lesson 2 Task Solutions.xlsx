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2/Task/"/>
    </mc:Choice>
  </mc:AlternateContent>
  <xr:revisionPtr revIDLastSave="159" documentId="8_{1366B874-E977-4EEB-B31F-2CB91162FF2A}" xr6:coauthVersionLast="47" xr6:coauthVersionMax="47" xr10:uidLastSave="{5E8C3BE9-2132-488F-BFDA-9C9056B28213}"/>
  <bookViews>
    <workbookView xWindow="-108" yWindow="-108" windowWidth="23256" windowHeight="12456" activeTab="1" xr2:uid="{52F5FDE0-F91E-4D3D-B5B4-E7AEEC04544A}"/>
  </bookViews>
  <sheets>
    <sheet name="NPER,RATE,PMT,FV,PV" sheetId="1" r:id="rId1"/>
    <sheet name="IRR and NPV Function" sheetId="5" r:id="rId2"/>
    <sheet name="LAMDA,LET" sheetId="6" r:id="rId3"/>
    <sheet name="IPMT Function" sheetId="3" r:id="rId4"/>
    <sheet name="Byrow and Bycol" sheetId="7" r:id="rId5"/>
  </sheets>
  <definedNames>
    <definedName name="MyFirstNamedFunction">_xlfn.LAMBDA(_xlpm.x,(_xlpm.x/2+1)^3)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5" i="3"/>
  <c r="F17" i="3" s="1"/>
  <c r="B9" i="5"/>
  <c r="B3" i="3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3" i="6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3" i="6" a="1"/>
  <c r="B3" i="6" s="1"/>
  <c r="B5" i="1"/>
  <c r="B3" i="1"/>
  <c r="B8" i="7" a="1"/>
  <c r="B8" i="7" s="1"/>
  <c r="D2" i="7" a="1"/>
  <c r="D2" i="7" s="1"/>
  <c r="F4" i="1"/>
  <c r="F3" i="1" s="1"/>
  <c r="J4" i="1"/>
  <c r="J8" i="1" s="1"/>
  <c r="F16" i="3" l="1"/>
  <c r="F15" i="3"/>
  <c r="F14" i="3"/>
  <c r="F13" i="3"/>
  <c r="F12" i="3"/>
  <c r="F3" i="3"/>
  <c r="G3" i="3" s="1"/>
  <c r="F11" i="3"/>
  <c r="F26" i="3"/>
  <c r="F10" i="3"/>
  <c r="F25" i="3"/>
  <c r="F9" i="3"/>
  <c r="F24" i="3"/>
  <c r="F8" i="3"/>
  <c r="F23" i="3"/>
  <c r="F7" i="3"/>
  <c r="F22" i="3"/>
  <c r="F6" i="3"/>
  <c r="F21" i="3"/>
  <c r="F5" i="3"/>
  <c r="F20" i="3"/>
  <c r="F4" i="3"/>
  <c r="F19" i="3"/>
  <c r="F18" i="3"/>
  <c r="G4" i="3" l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8D33C-5DC7-4F99-9842-0480E9F81144}" keepAlive="1" name="Query - used_cars" description="Connection to the 'used_cars' query in the workbook." type="5" refreshedVersion="0" background="1">
    <dbPr connection="Provider=Microsoft.Mashup.OleDb.1;Data Source=$Workbook$;Location=used_cars;Extended Properties=&quot;&quot;" command="SELECT * FROM [used_ca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<sst xmlns="http://schemas.openxmlformats.org/spreadsheetml/2006/main" count="67" uniqueCount="43">
  <si>
    <t>NPER Function</t>
  </si>
  <si>
    <t>RATE Function</t>
  </si>
  <si>
    <t>PMT Function</t>
  </si>
  <si>
    <t>Formulas</t>
  </si>
  <si>
    <t>Annual interest rate</t>
  </si>
  <si>
    <t>=B3*12</t>
  </si>
  <si>
    <t xml:space="preserve">Monthly interest </t>
  </si>
  <si>
    <t>=RATE(B4,-B7,B5)</t>
  </si>
  <si>
    <t>=B1/12</t>
  </si>
  <si>
    <t>Number of Monthly repayments</t>
  </si>
  <si>
    <t>=NPER(B4,-B8,B6)</t>
  </si>
  <si>
    <t>=2*12</t>
  </si>
  <si>
    <t>Initial value of loan</t>
  </si>
  <si>
    <t>Repayment amount</t>
  </si>
  <si>
    <t>=PMT(B2,B3,-B4)</t>
  </si>
  <si>
    <t>IRR</t>
  </si>
  <si>
    <t>Initial cost</t>
  </si>
  <si>
    <t>Cash Flow 1</t>
  </si>
  <si>
    <t>Cash Flow 2</t>
  </si>
  <si>
    <t>Cash Flow 3</t>
  </si>
  <si>
    <t>Cash Flow 4</t>
  </si>
  <si>
    <t>Cash Flow 5</t>
  </si>
  <si>
    <t>=IRR(B2:B7)</t>
  </si>
  <si>
    <t>NPV</t>
  </si>
  <si>
    <t>Formula</t>
  </si>
  <si>
    <t>x</t>
  </si>
  <si>
    <t>f(x)</t>
  </si>
  <si>
    <t>h(x)</t>
  </si>
  <si>
    <t>=LAMBDA(x,(x/2+1)^3)(A2)</t>
  </si>
  <si>
    <t>=LET(x,A3,(x/2+1)^3)</t>
  </si>
  <si>
    <t>IPMT Formula</t>
  </si>
  <si>
    <t>Payment</t>
  </si>
  <si>
    <t>Interest</t>
  </si>
  <si>
    <t>Unpaid Capital</t>
  </si>
  <si>
    <t>Unpaid Capital Formula</t>
  </si>
  <si>
    <t>=IPMT($B$4,E3,$B$5,-$B$6)</t>
  </si>
  <si>
    <t>=G2-$B$8+F3</t>
  </si>
  <si>
    <t>Value 1</t>
  </si>
  <si>
    <t>Value 2</t>
  </si>
  <si>
    <t>Sum</t>
  </si>
  <si>
    <t>=BYROW($B$2:$C$7,LAMBDA(table1,SUM(table1)))</t>
  </si>
  <si>
    <t>=BYCOL($B$2:$C$7,LAMBDA(table1,SUM(table1)))</t>
  </si>
  <si>
    <t>=NPV(C1, B3:B7) +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</si>
</sst>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409]#,##0.00"/>
    <numFmt numFmtId="165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0" fontId="0" fillId="0" borderId="1" xfId="0" applyBorder="1"/>
    <xf numFmtId="9" fontId="0" fillId="0" borderId="2" xfId="0" applyNumberFormat="1" applyBorder="1"/>
    <xf numFmtId="0" fontId="0" fillId="0" borderId="3" xfId="0" applyBorder="1"/>
    <xf numFmtId="9" fontId="0" fillId="0" borderId="4" xfId="1" applyFont="1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0" fontId="2" fillId="0" borderId="0" xfId="0" applyFont="1"/>
    <xf numFmtId="9" fontId="0" fillId="0" borderId="0" xfId="0" quotePrefix="1" applyNumberFormat="1"/>
    <xf numFmtId="164" fontId="0" fillId="0" borderId="8" xfId="0" applyNumberFormat="1" applyBorder="1"/>
    <xf numFmtId="164" fontId="0" fillId="0" borderId="0" xfId="0" applyNumberFormat="1"/>
    <xf numFmtId="9" fontId="0" fillId="0" borderId="0" xfId="0" applyNumberFormat="1"/>
    <xf numFmtId="9" fontId="0" fillId="0" borderId="0" xfId="1" applyFont="1" applyBorder="1"/>
    <xf numFmtId="165" fontId="0" fillId="0" borderId="0" xfId="0" applyNumberFormat="1"/>
    <xf numFmtId="2" fontId="0" fillId="0" borderId="4" xfId="0" applyNumberFormat="1" applyBorder="1"/>
    <xf numFmtId="10" fontId="0" fillId="0" borderId="0" xfId="1" applyNumberFormat="1" applyFont="1"/>
    <xf numFmtId="10" fontId="4" fillId="0" borderId="0" xfId="0" applyNumberFormat="1" applyFont="1"/>
    <xf numFmtId="10" fontId="2" fillId="0" borderId="0" xfId="1" applyNumberFormat="1" applyFont="1"/>
    <xf numFmtId="43" fontId="0" fillId="0" borderId="0" xfId="2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762B-4FBD-465B-B4EE-20A1B37EB862}">
  <dimension ref="A1:L8"/>
  <sheetViews>
    <sheetView workbookViewId="0">
      <selection activeCell="I5" sqref="I5"/>
    </sheetView>
  </sheetViews>
  <sheetFormatPr defaultRowHeight="14.4" x14ac:dyDescent="0.3"/>
  <cols>
    <col min="1" max="1" width="27.44140625" bestFit="1" customWidth="1"/>
    <col min="2" max="2" width="11.109375" bestFit="1" customWidth="1"/>
    <col min="3" max="3" width="15.5546875" bestFit="1" customWidth="1"/>
    <col min="5" max="5" width="27.44140625" bestFit="1" customWidth="1"/>
    <col min="6" max="6" width="11.109375" bestFit="1" customWidth="1"/>
    <col min="7" max="7" width="14.6640625" bestFit="1" customWidth="1"/>
    <col min="9" max="9" width="27.44140625" bestFit="1" customWidth="1"/>
    <col min="10" max="10" width="11.109375" bestFit="1" customWidth="1"/>
    <col min="11" max="11" width="14.6640625" bestFit="1" customWidth="1"/>
  </cols>
  <sheetData>
    <row r="1" spans="1:12" x14ac:dyDescent="0.3">
      <c r="A1" t="s">
        <v>0</v>
      </c>
      <c r="E1" t="s">
        <v>1</v>
      </c>
      <c r="I1" t="s">
        <v>2</v>
      </c>
    </row>
    <row r="2" spans="1:12" ht="15" thickBot="1" x14ac:dyDescent="0.35">
      <c r="B2" s="10" t="s">
        <v>3</v>
      </c>
      <c r="C2" s="10" t="s">
        <v>3</v>
      </c>
      <c r="G2" s="10" t="s">
        <v>3</v>
      </c>
      <c r="K2" s="10" t="s">
        <v>3</v>
      </c>
    </row>
    <row r="3" spans="1:12" x14ac:dyDescent="0.3">
      <c r="A3" s="2" t="s">
        <v>4</v>
      </c>
      <c r="B3" s="3">
        <f>B4*12</f>
        <v>0.24</v>
      </c>
      <c r="C3" s="1"/>
      <c r="E3" s="2" t="s">
        <v>4</v>
      </c>
      <c r="F3" s="3">
        <f>F4*12</f>
        <v>0.18157012682812518</v>
      </c>
      <c r="G3" s="1" t="s">
        <v>5</v>
      </c>
      <c r="I3" s="2" t="s">
        <v>4</v>
      </c>
      <c r="J3" s="3">
        <v>0.12</v>
      </c>
      <c r="K3" s="1"/>
    </row>
    <row r="4" spans="1:12" x14ac:dyDescent="0.3">
      <c r="A4" s="4" t="s">
        <v>6</v>
      </c>
      <c r="B4" s="5">
        <v>0.02</v>
      </c>
      <c r="C4" s="11"/>
      <c r="E4" s="4" t="s">
        <v>6</v>
      </c>
      <c r="F4" s="5">
        <f>RATE(F5,-F8,F6)</f>
        <v>1.5130843902343765E-2</v>
      </c>
      <c r="G4" s="11" t="s">
        <v>7</v>
      </c>
      <c r="I4" s="4" t="s">
        <v>6</v>
      </c>
      <c r="J4" s="5">
        <f>J3/12</f>
        <v>0.01</v>
      </c>
      <c r="K4" s="11" t="s">
        <v>8</v>
      </c>
    </row>
    <row r="5" spans="1:12" x14ac:dyDescent="0.3">
      <c r="A5" s="4" t="s">
        <v>9</v>
      </c>
      <c r="B5" s="6">
        <f>NPER(B4,-B8,B6)</f>
        <v>155.37511163013917</v>
      </c>
      <c r="C5" s="1" t="s">
        <v>10</v>
      </c>
      <c r="E5" s="4" t="s">
        <v>9</v>
      </c>
      <c r="F5" s="6">
        <v>24</v>
      </c>
      <c r="G5" s="1"/>
      <c r="I5" s="4" t="s">
        <v>9</v>
      </c>
      <c r="J5" s="6">
        <v>24</v>
      </c>
      <c r="K5" s="1" t="s">
        <v>11</v>
      </c>
    </row>
    <row r="6" spans="1:12" ht="15" thickBot="1" x14ac:dyDescent="0.35">
      <c r="A6" s="7" t="s">
        <v>12</v>
      </c>
      <c r="B6" s="8">
        <v>60000</v>
      </c>
      <c r="E6" s="7" t="s">
        <v>12</v>
      </c>
      <c r="F6" s="8">
        <v>15000</v>
      </c>
      <c r="I6" s="7" t="s">
        <v>12</v>
      </c>
      <c r="J6" s="8">
        <v>10000</v>
      </c>
    </row>
    <row r="7" spans="1:12" ht="15" thickBot="1" x14ac:dyDescent="0.35"/>
    <row r="8" spans="1:12" ht="15" thickBot="1" x14ac:dyDescent="0.35">
      <c r="A8" s="9" t="s">
        <v>13</v>
      </c>
      <c r="B8" s="12">
        <v>1258</v>
      </c>
      <c r="C8" s="1"/>
      <c r="E8" s="9" t="s">
        <v>13</v>
      </c>
      <c r="F8" s="12">
        <v>750</v>
      </c>
      <c r="G8" s="1"/>
      <c r="I8" s="9" t="s">
        <v>2</v>
      </c>
      <c r="J8" s="12">
        <f>PMT(J4,J5,-J6)</f>
        <v>470.73472223264707</v>
      </c>
      <c r="K8" s="1" t="s">
        <v>14</v>
      </c>
      <c r="L8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A210-784D-4DAB-A7C7-A01B65A33964}">
  <dimension ref="A1:H12"/>
  <sheetViews>
    <sheetView tabSelected="1" workbookViewId="0">
      <selection activeCell="B10" sqref="B10"/>
    </sheetView>
  </sheetViews>
  <sheetFormatPr defaultRowHeight="14.4" x14ac:dyDescent="0.3"/>
  <cols>
    <col min="1" max="1" width="18.6640625" bestFit="1" customWidth="1"/>
    <col min="2" max="2" width="10.109375" bestFit="1" customWidth="1"/>
    <col min="3" max="3" width="14" bestFit="1" customWidth="1"/>
    <col min="5" max="5" width="9.6640625" bestFit="1" customWidth="1"/>
    <col min="6" max="6" width="18.6640625" bestFit="1" customWidth="1"/>
    <col min="7" max="7" width="9.6640625" bestFit="1" customWidth="1"/>
  </cols>
  <sheetData>
    <row r="1" spans="1:8" ht="15" x14ac:dyDescent="0.35">
      <c r="A1" t="s">
        <v>15</v>
      </c>
      <c r="C1" s="20">
        <v>0.1759</v>
      </c>
      <c r="F1" s="19"/>
      <c r="H1" s="10"/>
    </row>
    <row r="2" spans="1:8" x14ac:dyDescent="0.3">
      <c r="A2" t="s">
        <v>16</v>
      </c>
      <c r="B2" s="13">
        <v>-2000</v>
      </c>
      <c r="C2" s="1"/>
      <c r="E2" s="13"/>
      <c r="F2" s="1"/>
      <c r="G2" s="13"/>
      <c r="H2" s="1"/>
    </row>
    <row r="3" spans="1:8" x14ac:dyDescent="0.3">
      <c r="A3" t="s">
        <v>17</v>
      </c>
      <c r="B3" s="13">
        <v>225</v>
      </c>
      <c r="E3" s="13"/>
      <c r="G3" s="13"/>
    </row>
    <row r="4" spans="1:8" x14ac:dyDescent="0.3">
      <c r="A4" t="s">
        <v>18</v>
      </c>
      <c r="B4" s="13">
        <v>225</v>
      </c>
      <c r="E4" s="13"/>
      <c r="G4" s="13"/>
    </row>
    <row r="5" spans="1:8" x14ac:dyDescent="0.3">
      <c r="A5" t="s">
        <v>19</v>
      </c>
      <c r="B5" s="13">
        <v>225</v>
      </c>
      <c r="E5" s="13"/>
      <c r="G5" s="13"/>
    </row>
    <row r="6" spans="1:8" x14ac:dyDescent="0.3">
      <c r="A6" t="s">
        <v>20</v>
      </c>
      <c r="B6" s="13">
        <v>225</v>
      </c>
      <c r="E6" s="13"/>
      <c r="G6" s="13"/>
    </row>
    <row r="7" spans="1:8" x14ac:dyDescent="0.3">
      <c r="A7" t="s">
        <v>21</v>
      </c>
      <c r="B7" s="13">
        <v>225</v>
      </c>
      <c r="E7" s="13"/>
      <c r="G7" s="13"/>
    </row>
    <row r="8" spans="1:8" x14ac:dyDescent="0.3">
      <c r="E8" s="13"/>
    </row>
    <row r="9" spans="1:8" x14ac:dyDescent="0.3">
      <c r="A9" t="s">
        <v>15</v>
      </c>
      <c r="B9" s="16">
        <f>IRR(B2:B7)</f>
        <v>-0.16552305597876327</v>
      </c>
      <c r="C9" s="1" t="s">
        <v>22</v>
      </c>
      <c r="G9" s="13"/>
      <c r="H9" s="1"/>
    </row>
    <row r="10" spans="1:8" x14ac:dyDescent="0.3">
      <c r="A10" t="s">
        <v>23</v>
      </c>
      <c r="B10" s="21">
        <f>NPV(C1, B3:B7) + B2</f>
        <v>-1289.8018457837686</v>
      </c>
      <c r="C10" s="1" t="s">
        <v>42</v>
      </c>
      <c r="G10" s="13"/>
      <c r="H10" s="1"/>
    </row>
    <row r="12" spans="1:8" x14ac:dyDescent="0.3">
      <c r="G12" s="18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8C23-D0DE-46A1-90DF-9BB7A1B1A5E1}">
  <dimension ref="A1:G16"/>
  <sheetViews>
    <sheetView workbookViewId="0">
      <selection activeCell="C5" sqref="C5"/>
    </sheetView>
  </sheetViews>
  <sheetFormatPr defaultRowHeight="14.4" x14ac:dyDescent="0.3"/>
  <cols>
    <col min="3" max="3" width="22.88671875" bestFit="1" customWidth="1"/>
    <col min="5" max="5" width="24.44140625" bestFit="1" customWidth="1"/>
  </cols>
  <sheetData>
    <row r="1" spans="1:7" x14ac:dyDescent="0.3">
      <c r="C1" s="10" t="s">
        <v>24</v>
      </c>
      <c r="E1" s="10"/>
      <c r="G1" s="10" t="s">
        <v>24</v>
      </c>
    </row>
    <row r="2" spans="1:7" x14ac:dyDescent="0.3">
      <c r="A2" t="s">
        <v>25</v>
      </c>
      <c r="B2" t="s">
        <v>26</v>
      </c>
      <c r="F2" t="s">
        <v>27</v>
      </c>
    </row>
    <row r="3" spans="1:7" x14ac:dyDescent="0.3">
      <c r="A3">
        <v>4</v>
      </c>
      <c r="B3" cm="1">
        <f t="array" ref="B3">_xlfn.LAMBDA(_xlpm.x,(_xlpm.x/6+3)^2)(A3)</f>
        <v>13.444444444444443</v>
      </c>
      <c r="C3" s="1" t="s">
        <v>28</v>
      </c>
      <c r="E3" s="1"/>
      <c r="F3">
        <f>_xlfn.LET(_xlpm.x,A3,(_xlpm.x/6+3)^2)</f>
        <v>13.444444444444443</v>
      </c>
      <c r="G3" s="1" t="s">
        <v>29</v>
      </c>
    </row>
    <row r="4" spans="1:7" x14ac:dyDescent="0.3">
      <c r="A4">
        <v>5</v>
      </c>
      <c r="B4" cm="1">
        <f t="array" ref="B4">_xlfn.LAMBDA(_xlpm.x,(_xlpm.x/6+3)^2)(A4)</f>
        <v>14.694444444444446</v>
      </c>
      <c r="F4">
        <f t="shared" ref="F4:F16" si="0">_xlfn.LET(_xlpm.x,A4,(_xlpm.x/6+3)^2)</f>
        <v>14.694444444444446</v>
      </c>
    </row>
    <row r="5" spans="1:7" x14ac:dyDescent="0.3">
      <c r="A5">
        <v>6</v>
      </c>
      <c r="B5" cm="1">
        <f t="array" ref="B5">_xlfn.LAMBDA(_xlpm.x,(_xlpm.x/6+3)^2)(A5)</f>
        <v>16</v>
      </c>
      <c r="F5">
        <f t="shared" si="0"/>
        <v>16</v>
      </c>
    </row>
    <row r="6" spans="1:7" x14ac:dyDescent="0.3">
      <c r="A6">
        <v>7</v>
      </c>
      <c r="B6" cm="1">
        <f t="array" ref="B6">_xlfn.LAMBDA(_xlpm.x,(_xlpm.x/6+3)^2)(A6)</f>
        <v>17.361111111111114</v>
      </c>
      <c r="F6">
        <f t="shared" si="0"/>
        <v>17.361111111111114</v>
      </c>
    </row>
    <row r="7" spans="1:7" x14ac:dyDescent="0.3">
      <c r="A7">
        <v>8</v>
      </c>
      <c r="B7" cm="1">
        <f t="array" ref="B7">_xlfn.LAMBDA(_xlpm.x,(_xlpm.x/6+3)^2)(A7)</f>
        <v>18.777777777777775</v>
      </c>
      <c r="F7">
        <f t="shared" si="0"/>
        <v>18.777777777777775</v>
      </c>
    </row>
    <row r="8" spans="1:7" x14ac:dyDescent="0.3">
      <c r="A8">
        <v>9</v>
      </c>
      <c r="B8" cm="1">
        <f t="array" ref="B8">_xlfn.LAMBDA(_xlpm.x,(_xlpm.x/6+3)^2)(A8)</f>
        <v>20.25</v>
      </c>
      <c r="F8">
        <f t="shared" si="0"/>
        <v>20.25</v>
      </c>
    </row>
    <row r="9" spans="1:7" x14ac:dyDescent="0.3">
      <c r="A9">
        <v>10</v>
      </c>
      <c r="B9" cm="1">
        <f t="array" ref="B9">_xlfn.LAMBDA(_xlpm.x,(_xlpm.x/6+3)^2)(A9)</f>
        <v>21.777777777777782</v>
      </c>
      <c r="F9">
        <f t="shared" si="0"/>
        <v>21.777777777777782</v>
      </c>
    </row>
    <row r="10" spans="1:7" x14ac:dyDescent="0.3">
      <c r="A10">
        <v>11</v>
      </c>
      <c r="B10" cm="1">
        <f t="array" ref="B10">_xlfn.LAMBDA(_xlpm.x,(_xlpm.x/6+3)^2)(A10)</f>
        <v>23.361111111111107</v>
      </c>
      <c r="F10">
        <f t="shared" si="0"/>
        <v>23.361111111111107</v>
      </c>
    </row>
    <row r="11" spans="1:7" x14ac:dyDescent="0.3">
      <c r="A11">
        <v>12</v>
      </c>
      <c r="B11" cm="1">
        <f t="array" ref="B11">_xlfn.LAMBDA(_xlpm.x,(_xlpm.x/6+3)^2)(A11)</f>
        <v>25</v>
      </c>
      <c r="F11">
        <f t="shared" si="0"/>
        <v>25</v>
      </c>
    </row>
    <row r="12" spans="1:7" x14ac:dyDescent="0.3">
      <c r="A12">
        <v>13</v>
      </c>
      <c r="B12" cm="1">
        <f t="array" ref="B12">_xlfn.LAMBDA(_xlpm.x,(_xlpm.x/6+3)^2)(A12)</f>
        <v>26.694444444444439</v>
      </c>
      <c r="F12">
        <f t="shared" si="0"/>
        <v>26.694444444444439</v>
      </c>
    </row>
    <row r="13" spans="1:7" x14ac:dyDescent="0.3">
      <c r="A13">
        <v>14</v>
      </c>
      <c r="B13" cm="1">
        <f t="array" ref="B13">_xlfn.LAMBDA(_xlpm.x,(_xlpm.x/6+3)^2)(A13)</f>
        <v>28.44444444444445</v>
      </c>
      <c r="F13">
        <f t="shared" si="0"/>
        <v>28.44444444444445</v>
      </c>
    </row>
    <row r="14" spans="1:7" x14ac:dyDescent="0.3">
      <c r="A14">
        <v>15</v>
      </c>
      <c r="B14" cm="1">
        <f t="array" ref="B14">_xlfn.LAMBDA(_xlpm.x,(_xlpm.x/6+3)^2)(A14)</f>
        <v>30.25</v>
      </c>
      <c r="F14">
        <f t="shared" si="0"/>
        <v>30.25</v>
      </c>
    </row>
    <row r="15" spans="1:7" x14ac:dyDescent="0.3">
      <c r="A15">
        <v>16</v>
      </c>
      <c r="B15" cm="1">
        <f t="array" ref="B15">_xlfn.LAMBDA(_xlpm.x,(_xlpm.x/6+3)^2)(A15)</f>
        <v>32.111111111111107</v>
      </c>
      <c r="F15">
        <f t="shared" si="0"/>
        <v>32.111111111111107</v>
      </c>
    </row>
    <row r="16" spans="1:7" x14ac:dyDescent="0.3">
      <c r="A16">
        <v>17</v>
      </c>
      <c r="B16" cm="1">
        <f t="array" ref="B16">_xlfn.LAMBDA(_xlpm.x,(_xlpm.x/6+3)^2)(A16)</f>
        <v>34.027777777777786</v>
      </c>
      <c r="F16">
        <f t="shared" si="0"/>
        <v>34.027777777777786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BE28-4E89-4BE7-A360-75A4EB44E489}">
  <dimension ref="A1:H26"/>
  <sheetViews>
    <sheetView workbookViewId="0">
      <selection activeCell="B5" sqref="B5"/>
    </sheetView>
  </sheetViews>
  <sheetFormatPr defaultRowHeight="14.4" x14ac:dyDescent="0.3"/>
  <cols>
    <col min="1" max="1" width="27.44140625" bestFit="1" customWidth="1"/>
    <col min="2" max="2" width="11.109375" bestFit="1" customWidth="1"/>
    <col min="3" max="3" width="11.109375" customWidth="1"/>
    <col min="4" max="4" width="24" bestFit="1" customWidth="1"/>
    <col min="5" max="5" width="8.109375" bestFit="1" customWidth="1"/>
    <col min="6" max="6" width="9.109375" bestFit="1" customWidth="1"/>
    <col min="7" max="7" width="12.88671875" bestFit="1" customWidth="1"/>
    <col min="8" max="8" width="20.88671875" bestFit="1" customWidth="1"/>
  </cols>
  <sheetData>
    <row r="1" spans="1:8" x14ac:dyDescent="0.3"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</row>
    <row r="2" spans="1:8" ht="15" thickBot="1" x14ac:dyDescent="0.35">
      <c r="B2" s="10" t="s">
        <v>3</v>
      </c>
      <c r="C2" s="10"/>
      <c r="D2" s="10"/>
      <c r="E2">
        <v>0</v>
      </c>
      <c r="G2" s="13">
        <v>65000</v>
      </c>
    </row>
    <row r="3" spans="1:8" x14ac:dyDescent="0.3">
      <c r="A3" s="2" t="s">
        <v>4</v>
      </c>
      <c r="B3" s="3">
        <f>B4*12</f>
        <v>0.12</v>
      </c>
      <c r="C3" s="14"/>
      <c r="D3" s="1" t="s">
        <v>35</v>
      </c>
      <c r="E3">
        <v>1</v>
      </c>
      <c r="F3" s="13">
        <f>IPMT($B$4,E3,$B$5,-$B$6)</f>
        <v>650</v>
      </c>
      <c r="G3" s="13">
        <f>G2-$B$8+F3</f>
        <v>64392</v>
      </c>
      <c r="H3" s="1" t="s">
        <v>36</v>
      </c>
    </row>
    <row r="4" spans="1:8" x14ac:dyDescent="0.3">
      <c r="A4" s="4" t="s">
        <v>6</v>
      </c>
      <c r="B4" s="5">
        <v>0.01</v>
      </c>
      <c r="C4" s="15"/>
      <c r="D4" s="11"/>
      <c r="E4">
        <v>2</v>
      </c>
      <c r="F4" s="13">
        <f t="shared" ref="F4:F26" si="0">IPMT($B$4,E4,$B$5,-$B$6)</f>
        <v>643.91999999999996</v>
      </c>
      <c r="G4" s="13">
        <f t="shared" ref="G4:G26" si="1">G3-$B$8+F4</f>
        <v>63777.919999999998</v>
      </c>
    </row>
    <row r="5" spans="1:8" x14ac:dyDescent="0.3">
      <c r="A5" s="4" t="s">
        <v>9</v>
      </c>
      <c r="B5" s="17">
        <f>NPER(B4,-B8,B6)</f>
        <v>73.07330439798551</v>
      </c>
      <c r="D5" s="1"/>
      <c r="E5">
        <v>3</v>
      </c>
      <c r="F5" s="13">
        <f t="shared" si="0"/>
        <v>637.77919999999995</v>
      </c>
      <c r="G5" s="13">
        <f t="shared" si="1"/>
        <v>63157.699199999995</v>
      </c>
    </row>
    <row r="6" spans="1:8" ht="15" thickBot="1" x14ac:dyDescent="0.35">
      <c r="A6" s="7" t="s">
        <v>12</v>
      </c>
      <c r="B6" s="8">
        <v>65000</v>
      </c>
      <c r="C6" s="13"/>
      <c r="E6">
        <v>4</v>
      </c>
      <c r="F6" s="13">
        <f t="shared" si="0"/>
        <v>631.5769919999999</v>
      </c>
      <c r="G6" s="13">
        <f t="shared" si="1"/>
        <v>62531.276191999998</v>
      </c>
    </row>
    <row r="7" spans="1:8" ht="15" thickBot="1" x14ac:dyDescent="0.35">
      <c r="E7">
        <v>5</v>
      </c>
      <c r="F7" s="13">
        <f t="shared" si="0"/>
        <v>625.31276191999996</v>
      </c>
      <c r="G7" s="13">
        <f t="shared" si="1"/>
        <v>61898.58895392</v>
      </c>
    </row>
    <row r="8" spans="1:8" ht="15" thickBot="1" x14ac:dyDescent="0.35">
      <c r="A8" s="9" t="s">
        <v>13</v>
      </c>
      <c r="B8" s="12">
        <v>1258</v>
      </c>
      <c r="C8" s="13"/>
      <c r="D8" s="1"/>
      <c r="E8">
        <v>6</v>
      </c>
      <c r="F8" s="13">
        <f t="shared" si="0"/>
        <v>618.9858895392</v>
      </c>
      <c r="G8" s="13">
        <f t="shared" si="1"/>
        <v>61259.574843459202</v>
      </c>
    </row>
    <row r="9" spans="1:8" x14ac:dyDescent="0.3">
      <c r="E9">
        <v>7</v>
      </c>
      <c r="F9" s="13">
        <f t="shared" si="0"/>
        <v>612.595748434592</v>
      </c>
      <c r="G9" s="13">
        <f t="shared" si="1"/>
        <v>60614.170591893795</v>
      </c>
    </row>
    <row r="10" spans="1:8" x14ac:dyDescent="0.3">
      <c r="E10">
        <v>8</v>
      </c>
      <c r="F10" s="13">
        <f t="shared" si="0"/>
        <v>606.14170591893787</v>
      </c>
      <c r="G10" s="13">
        <f t="shared" si="1"/>
        <v>59962.312297812736</v>
      </c>
    </row>
    <row r="11" spans="1:8" x14ac:dyDescent="0.3">
      <c r="E11">
        <v>9</v>
      </c>
      <c r="F11" s="13">
        <f t="shared" si="0"/>
        <v>599.62312297812718</v>
      </c>
      <c r="G11" s="13">
        <f t="shared" si="1"/>
        <v>59303.935420790862</v>
      </c>
    </row>
    <row r="12" spans="1:8" x14ac:dyDescent="0.3">
      <c r="E12">
        <v>10</v>
      </c>
      <c r="F12" s="13">
        <f t="shared" si="0"/>
        <v>593.03935420790845</v>
      </c>
      <c r="G12" s="13">
        <f t="shared" si="1"/>
        <v>58638.974774998773</v>
      </c>
    </row>
    <row r="13" spans="1:8" x14ac:dyDescent="0.3">
      <c r="E13">
        <v>11</v>
      </c>
      <c r="F13" s="13">
        <f t="shared" si="0"/>
        <v>586.38974774998758</v>
      </c>
      <c r="G13" s="13">
        <f t="shared" si="1"/>
        <v>57967.364522748758</v>
      </c>
    </row>
    <row r="14" spans="1:8" x14ac:dyDescent="0.3">
      <c r="E14">
        <v>12</v>
      </c>
      <c r="F14" s="13">
        <f t="shared" si="0"/>
        <v>579.67364522748733</v>
      </c>
      <c r="G14" s="13">
        <f t="shared" si="1"/>
        <v>57289.038167976243</v>
      </c>
    </row>
    <row r="15" spans="1:8" x14ac:dyDescent="0.3">
      <c r="E15">
        <v>13</v>
      </c>
      <c r="F15" s="13">
        <f t="shared" si="0"/>
        <v>572.89038167976241</v>
      </c>
      <c r="G15" s="13">
        <f t="shared" si="1"/>
        <v>56603.928549656004</v>
      </c>
    </row>
    <row r="16" spans="1:8" x14ac:dyDescent="0.3">
      <c r="E16">
        <v>14</v>
      </c>
      <c r="F16" s="13">
        <f t="shared" si="0"/>
        <v>566.03928549655996</v>
      </c>
      <c r="G16" s="13">
        <f t="shared" si="1"/>
        <v>55911.967835152565</v>
      </c>
    </row>
    <row r="17" spans="5:7" x14ac:dyDescent="0.3">
      <c r="E17">
        <v>15</v>
      </c>
      <c r="F17" s="13">
        <f t="shared" si="0"/>
        <v>559.11967835152564</v>
      </c>
      <c r="G17" s="13">
        <f t="shared" si="1"/>
        <v>55213.087513504091</v>
      </c>
    </row>
    <row r="18" spans="5:7" x14ac:dyDescent="0.3">
      <c r="E18">
        <v>16</v>
      </c>
      <c r="F18" s="13">
        <f t="shared" si="0"/>
        <v>552.13087513504081</v>
      </c>
      <c r="G18" s="13">
        <f t="shared" si="1"/>
        <v>54507.218388639136</v>
      </c>
    </row>
    <row r="19" spans="5:7" x14ac:dyDescent="0.3">
      <c r="E19">
        <v>17</v>
      </c>
      <c r="F19" s="13">
        <f t="shared" si="0"/>
        <v>545.07218388639114</v>
      </c>
      <c r="G19" s="13">
        <f t="shared" si="1"/>
        <v>53794.290572525526</v>
      </c>
    </row>
    <row r="20" spans="5:7" x14ac:dyDescent="0.3">
      <c r="E20">
        <v>18</v>
      </c>
      <c r="F20" s="13">
        <f t="shared" si="0"/>
        <v>537.94290572525517</v>
      </c>
      <c r="G20" s="13">
        <f t="shared" si="1"/>
        <v>53074.233478250782</v>
      </c>
    </row>
    <row r="21" spans="5:7" x14ac:dyDescent="0.3">
      <c r="E21">
        <v>19</v>
      </c>
      <c r="F21" s="13">
        <f t="shared" si="0"/>
        <v>530.74233478250767</v>
      </c>
      <c r="G21" s="13">
        <f t="shared" si="1"/>
        <v>52346.975813033292</v>
      </c>
    </row>
    <row r="22" spans="5:7" x14ac:dyDescent="0.3">
      <c r="E22">
        <v>20</v>
      </c>
      <c r="F22" s="13">
        <f t="shared" si="0"/>
        <v>523.46975813033259</v>
      </c>
      <c r="G22" s="13">
        <f t="shared" si="1"/>
        <v>51612.445571163626</v>
      </c>
    </row>
    <row r="23" spans="5:7" x14ac:dyDescent="0.3">
      <c r="E23">
        <v>21</v>
      </c>
      <c r="F23" s="13">
        <f t="shared" si="0"/>
        <v>516.12445571163607</v>
      </c>
      <c r="G23" s="13">
        <f t="shared" si="1"/>
        <v>50870.570026875263</v>
      </c>
    </row>
    <row r="24" spans="5:7" x14ac:dyDescent="0.3">
      <c r="E24">
        <v>22</v>
      </c>
      <c r="F24" s="13">
        <f t="shared" si="0"/>
        <v>508.70570026875237</v>
      </c>
      <c r="G24" s="13">
        <f t="shared" si="1"/>
        <v>50121.275727144013</v>
      </c>
    </row>
    <row r="25" spans="5:7" x14ac:dyDescent="0.3">
      <c r="E25">
        <v>23</v>
      </c>
      <c r="F25" s="13">
        <f t="shared" si="0"/>
        <v>501.2127572714399</v>
      </c>
      <c r="G25" s="13">
        <f t="shared" si="1"/>
        <v>49364.488484415451</v>
      </c>
    </row>
    <row r="26" spans="5:7" x14ac:dyDescent="0.3">
      <c r="E26">
        <v>24</v>
      </c>
      <c r="F26" s="13">
        <f t="shared" si="0"/>
        <v>493.64488484415432</v>
      </c>
      <c r="G26" s="13">
        <f t="shared" si="1"/>
        <v>48600.133369259609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87AA-19C2-42B8-9763-EC9879B19395}">
  <dimension ref="A1:E9"/>
  <sheetViews>
    <sheetView workbookViewId="0">
      <selection activeCell="C8" sqref="C8"/>
    </sheetView>
  </sheetViews>
  <sheetFormatPr defaultRowHeight="14.4" x14ac:dyDescent="0.3"/>
  <cols>
    <col min="1" max="1" width="9.33203125" customWidth="1"/>
    <col min="2" max="2" width="11.44140625" customWidth="1"/>
  </cols>
  <sheetData>
    <row r="1" spans="1:5" x14ac:dyDescent="0.3">
      <c r="B1" s="10" t="s">
        <v>37</v>
      </c>
      <c r="C1" s="10" t="s">
        <v>38</v>
      </c>
      <c r="D1" s="10" t="s">
        <v>39</v>
      </c>
      <c r="E1" s="10" t="s">
        <v>24</v>
      </c>
    </row>
    <row r="2" spans="1:5" x14ac:dyDescent="0.3">
      <c r="B2">
        <v>7</v>
      </c>
      <c r="C2">
        <v>11</v>
      </c>
      <c r="D2" s="10" cm="1">
        <f t="array" ref="D2:D7">_xlfn.BYROW($B$2:$C$7,_xlfn.LAMBDA(_xlpm.table1,SUM(_xlpm.table1)))</f>
        <v>18</v>
      </c>
      <c r="E2" s="1" t="s">
        <v>40</v>
      </c>
    </row>
    <row r="3" spans="1:5" x14ac:dyDescent="0.3">
      <c r="B3">
        <v>8</v>
      </c>
      <c r="C3">
        <v>58</v>
      </c>
      <c r="D3" s="10">
        <v>66</v>
      </c>
    </row>
    <row r="4" spans="1:5" x14ac:dyDescent="0.3">
      <c r="B4">
        <v>5</v>
      </c>
      <c r="C4">
        <v>45</v>
      </c>
      <c r="D4" s="10">
        <v>50</v>
      </c>
    </row>
    <row r="5" spans="1:5" x14ac:dyDescent="0.3">
      <c r="B5">
        <v>6</v>
      </c>
      <c r="C5">
        <v>11</v>
      </c>
      <c r="D5" s="10">
        <v>17</v>
      </c>
    </row>
    <row r="6" spans="1:5" x14ac:dyDescent="0.3">
      <c r="B6">
        <v>9</v>
      </c>
      <c r="C6">
        <v>24</v>
      </c>
      <c r="D6" s="10">
        <v>33</v>
      </c>
    </row>
    <row r="7" spans="1:5" x14ac:dyDescent="0.3">
      <c r="B7">
        <v>7</v>
      </c>
      <c r="C7">
        <v>5</v>
      </c>
      <c r="D7" s="10">
        <v>12</v>
      </c>
    </row>
    <row r="8" spans="1:5" x14ac:dyDescent="0.3">
      <c r="A8" s="10" t="s">
        <v>39</v>
      </c>
      <c r="B8" s="10" cm="1">
        <f t="array" ref="B8:C8">_xlfn.BYCOL($B$2:$C$7,_xlfn.LAMBDA(_xlpm.table1,SUM(_xlpm.table1)))</f>
        <v>42</v>
      </c>
      <c r="C8" s="10">
        <v>154</v>
      </c>
    </row>
    <row r="9" spans="1:5" x14ac:dyDescent="0.3">
      <c r="A9" t="s">
        <v>24</v>
      </c>
      <c r="B9" s="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14C8BC-8765-47C8-927B-C21C85312D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NPER,RATE,PMT,FV,PV</vt:lpstr>
      <vt:lpstr>IRR and NPV Function</vt:lpstr>
      <vt:lpstr>LAMDA,LET</vt:lpstr>
      <vt:lpstr>IPMT Function</vt:lpstr>
      <vt:lpstr>Byrow and Bycol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Jessie Rudd</dc:creator>
  <cp:keywords/>
  <dc:description/>
  <cp:lastModifiedBy>Jessie Rudd</cp:lastModifiedBy>
  <cp:revision/>
  <dcterms:created xsi:type="dcterms:W3CDTF">2023-06-12T08:02:58Z</dcterms:created>
  <dcterms:modified xsi:type="dcterms:W3CDTF">2024-04-05T07:50:53Z</dcterms:modified>
  <cp:category/>
  <cp:contentStatus/>
</cp:coreProperties>
</file>