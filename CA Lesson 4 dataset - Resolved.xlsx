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cd\OneDrive\Documents\DA 1\CA Quiz Questions\SPF\SPF Module 2 Quiz Questions\"/>
    </mc:Choice>
  </mc:AlternateContent>
  <xr:revisionPtr revIDLastSave="0" documentId="8_{8E0B16FE-41CF-4285-B891-831300BC77A4}" xr6:coauthVersionLast="47" xr6:coauthVersionMax="47" xr10:uidLastSave="{00000000-0000-0000-0000-000000000000}"/>
  <bookViews>
    <workbookView xWindow="28692" yWindow="-108" windowWidth="29016" windowHeight="15696" xr2:uid="{F6CEBD36-2739-4BAA-ADA2-29531F7860B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  <c r="A38" i="1"/>
  <c r="A36" i="1"/>
  <c r="G2" i="1"/>
  <c r="A34" i="1"/>
  <c r="A32" i="1"/>
  <c r="A30" i="1"/>
  <c r="A28" i="1"/>
  <c r="A26" i="1"/>
  <c r="A24" i="1"/>
</calcChain>
</file>

<file path=xl/sharedStrings.xml><?xml version="1.0" encoding="utf-8"?>
<sst xmlns="http://schemas.openxmlformats.org/spreadsheetml/2006/main" count="46" uniqueCount="30">
  <si>
    <t>Employee ID</t>
  </si>
  <si>
    <t>Employee Name</t>
  </si>
  <si>
    <t>Department</t>
  </si>
  <si>
    <t>Salary</t>
  </si>
  <si>
    <t>Years of Service</t>
  </si>
  <si>
    <t>Bonus Percentage</t>
  </si>
  <si>
    <t>Alice Smith</t>
  </si>
  <si>
    <t>Sales</t>
  </si>
  <si>
    <t>Bob Johnson</t>
  </si>
  <si>
    <t>Finance</t>
  </si>
  <si>
    <t>Carol Williams</t>
  </si>
  <si>
    <t>IT</t>
  </si>
  <si>
    <t>Dave Davis</t>
  </si>
  <si>
    <t>HR</t>
  </si>
  <si>
    <t>Eve Brown</t>
  </si>
  <si>
    <t>Frank Lee</t>
  </si>
  <si>
    <t>Grace Martin</t>
  </si>
  <si>
    <t>Harry Wilson</t>
  </si>
  <si>
    <t>Irene Hall</t>
  </si>
  <si>
    <t>Jack White</t>
  </si>
  <si>
    <t>Karen Miller</t>
  </si>
  <si>
    <t>Leo Robinson</t>
  </si>
  <si>
    <t>Maria Garcia</t>
  </si>
  <si>
    <t>Neil Taylor</t>
  </si>
  <si>
    <t>Olivia Harris</t>
  </si>
  <si>
    <t>Paul Anderson</t>
  </si>
  <si>
    <t>Quin Lewis</t>
  </si>
  <si>
    <t>Rachel Turner</t>
  </si>
  <si>
    <t>Sam Scott</t>
  </si>
  <si>
    <t>Tina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</si>
</sst>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C960-4975-43D9-8446-01BB16DE4948}">
  <dimension ref="A1:G40"/>
  <sheetViews>
    <sheetView tabSelected="1" workbookViewId="0">
      <selection activeCell="A40" sqref="A40"/>
    </sheetView>
  </sheetViews>
  <sheetFormatPr defaultRowHeight="14.45"/>
  <cols>
    <col min="1" max="1" width="11.85546875" bestFit="1" customWidth="1"/>
    <col min="2" max="2" width="15.140625" bestFit="1" customWidth="1"/>
    <col min="3" max="3" width="11.42578125" bestFit="1" customWidth="1"/>
    <col min="4" max="4" width="6.28515625" bestFit="1" customWidth="1"/>
    <col min="5" max="5" width="14.5703125" bestFit="1" customWidth="1"/>
    <col min="6" max="6" width="15.7109375" bestFit="1" customWidth="1"/>
    <col min="7" max="7" width="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5">
      <c r="A2" s="1">
        <v>1</v>
      </c>
      <c r="B2" s="1" t="s">
        <v>6</v>
      </c>
      <c r="C2" s="1" t="s">
        <v>7</v>
      </c>
      <c r="D2" s="1">
        <v>55000</v>
      </c>
      <c r="E2" s="1">
        <v>2</v>
      </c>
      <c r="F2" s="2">
        <v>0.05</v>
      </c>
      <c r="G2" s="4">
        <f>D2*F2</f>
        <v>2750</v>
      </c>
    </row>
    <row r="3" spans="1:7">
      <c r="A3" s="1">
        <v>2</v>
      </c>
      <c r="B3" s="1" t="s">
        <v>8</v>
      </c>
      <c r="C3" s="1" t="s">
        <v>9</v>
      </c>
      <c r="D3" s="1">
        <v>59000</v>
      </c>
      <c r="E3" s="1">
        <v>3</v>
      </c>
      <c r="F3" s="2">
        <v>7.0000000000000007E-2</v>
      </c>
    </row>
    <row r="4" spans="1:7">
      <c r="A4" s="1">
        <v>3</v>
      </c>
      <c r="B4" s="1" t="s">
        <v>10</v>
      </c>
      <c r="C4" s="1" t="s">
        <v>11</v>
      </c>
      <c r="D4" s="1">
        <v>60000</v>
      </c>
      <c r="E4" s="1">
        <v>4</v>
      </c>
      <c r="F4" s="2">
        <v>0.06</v>
      </c>
    </row>
    <row r="5" spans="1:7">
      <c r="A5" s="1">
        <v>4</v>
      </c>
      <c r="B5" s="1" t="s">
        <v>12</v>
      </c>
      <c r="C5" s="1" t="s">
        <v>13</v>
      </c>
      <c r="D5" s="1">
        <v>52000</v>
      </c>
      <c r="E5" s="1">
        <v>1</v>
      </c>
      <c r="F5" s="2">
        <v>0.08</v>
      </c>
    </row>
    <row r="6" spans="1:7">
      <c r="A6" s="1">
        <v>5</v>
      </c>
      <c r="B6" s="1" t="s">
        <v>14</v>
      </c>
      <c r="C6" s="1" t="s">
        <v>7</v>
      </c>
      <c r="D6" s="1">
        <v>56000</v>
      </c>
      <c r="E6" s="1">
        <v>2</v>
      </c>
      <c r="F6" s="2">
        <v>0.06</v>
      </c>
    </row>
    <row r="7" spans="1:7">
      <c r="A7" s="1">
        <v>6</v>
      </c>
      <c r="B7" s="1" t="s">
        <v>15</v>
      </c>
      <c r="C7" s="1" t="s">
        <v>9</v>
      </c>
      <c r="D7" s="1">
        <v>57000</v>
      </c>
      <c r="E7" s="1">
        <v>3</v>
      </c>
      <c r="F7" s="2">
        <v>7.0000000000000007E-2</v>
      </c>
    </row>
    <row r="8" spans="1:7">
      <c r="A8" s="1">
        <v>7</v>
      </c>
      <c r="B8" s="1" t="s">
        <v>16</v>
      </c>
      <c r="C8" s="1" t="s">
        <v>11</v>
      </c>
      <c r="D8" s="1">
        <v>58000</v>
      </c>
      <c r="E8" s="1">
        <v>4</v>
      </c>
      <c r="F8" s="3">
        <v>6.5000000000000002E-2</v>
      </c>
    </row>
    <row r="9" spans="1:7">
      <c r="A9" s="1">
        <v>8</v>
      </c>
      <c r="B9" s="1" t="s">
        <v>17</v>
      </c>
      <c r="C9" s="1" t="s">
        <v>13</v>
      </c>
      <c r="D9" s="1">
        <v>53000</v>
      </c>
      <c r="E9" s="1">
        <v>1</v>
      </c>
      <c r="F9" s="3">
        <v>8.5000000000000006E-2</v>
      </c>
    </row>
    <row r="10" spans="1:7">
      <c r="A10" s="1">
        <v>9</v>
      </c>
      <c r="B10" s="1" t="s">
        <v>18</v>
      </c>
      <c r="C10" s="1" t="s">
        <v>7</v>
      </c>
      <c r="D10" s="1">
        <v>54000</v>
      </c>
      <c r="E10" s="1">
        <v>2</v>
      </c>
      <c r="F10" s="3">
        <v>5.5E-2</v>
      </c>
    </row>
    <row r="11" spans="1:7">
      <c r="A11" s="1">
        <v>10</v>
      </c>
      <c r="B11" s="1" t="s">
        <v>19</v>
      </c>
      <c r="C11" s="1" t="s">
        <v>9</v>
      </c>
      <c r="D11" s="1">
        <v>59000</v>
      </c>
      <c r="E11" s="1">
        <v>3</v>
      </c>
      <c r="F11" s="3">
        <v>7.4999999999999997E-2</v>
      </c>
    </row>
    <row r="12" spans="1:7">
      <c r="A12" s="1">
        <v>11</v>
      </c>
      <c r="B12" s="1" t="s">
        <v>20</v>
      </c>
      <c r="C12" s="1" t="s">
        <v>11</v>
      </c>
      <c r="D12" s="1">
        <v>61000</v>
      </c>
      <c r="E12" s="1">
        <v>4</v>
      </c>
      <c r="F12" s="3">
        <v>6.5000000000000002E-2</v>
      </c>
    </row>
    <row r="13" spans="1:7">
      <c r="A13" s="1">
        <v>12</v>
      </c>
      <c r="B13" s="1" t="s">
        <v>21</v>
      </c>
      <c r="C13" s="1" t="s">
        <v>13</v>
      </c>
      <c r="D13" s="1">
        <v>53000</v>
      </c>
      <c r="E13" s="1">
        <v>1</v>
      </c>
      <c r="F13" s="2">
        <v>0.09</v>
      </c>
    </row>
    <row r="14" spans="1:7">
      <c r="A14" s="1">
        <v>13</v>
      </c>
      <c r="B14" s="1" t="s">
        <v>22</v>
      </c>
      <c r="C14" s="1" t="s">
        <v>7</v>
      </c>
      <c r="D14" s="1">
        <v>55000</v>
      </c>
      <c r="E14" s="1">
        <v>2</v>
      </c>
      <c r="F14" s="2">
        <v>0.05</v>
      </c>
    </row>
    <row r="15" spans="1:7">
      <c r="A15" s="1">
        <v>14</v>
      </c>
      <c r="B15" s="1" t="s">
        <v>23</v>
      </c>
      <c r="C15" s="1" t="s">
        <v>9</v>
      </c>
      <c r="D15" s="1">
        <v>58000</v>
      </c>
      <c r="E15" s="1">
        <v>3</v>
      </c>
      <c r="F15" s="2">
        <v>0.08</v>
      </c>
    </row>
    <row r="16" spans="1:7">
      <c r="A16" s="1">
        <v>15</v>
      </c>
      <c r="B16" s="1" t="s">
        <v>24</v>
      </c>
      <c r="C16" s="1" t="s">
        <v>11</v>
      </c>
      <c r="D16" s="1">
        <v>62000</v>
      </c>
      <c r="E16" s="1">
        <v>4</v>
      </c>
      <c r="F16" s="2">
        <v>7.0000000000000007E-2</v>
      </c>
    </row>
    <row r="17" spans="1:6">
      <c r="A17" s="1">
        <v>16</v>
      </c>
      <c r="B17" s="1" t="s">
        <v>25</v>
      </c>
      <c r="C17" s="1" t="s">
        <v>13</v>
      </c>
      <c r="D17" s="1">
        <v>54000</v>
      </c>
      <c r="E17" s="1">
        <v>1</v>
      </c>
      <c r="F17" s="3">
        <v>9.5000000000000001E-2</v>
      </c>
    </row>
    <row r="18" spans="1:6">
      <c r="A18" s="1">
        <v>17</v>
      </c>
      <c r="B18" s="1" t="s">
        <v>26</v>
      </c>
      <c r="C18" s="1" t="s">
        <v>7</v>
      </c>
      <c r="D18" s="1">
        <v>56000</v>
      </c>
      <c r="E18" s="1">
        <v>2</v>
      </c>
      <c r="F18" s="2">
        <v>0.06</v>
      </c>
    </row>
    <row r="19" spans="1:6">
      <c r="A19" s="1">
        <v>18</v>
      </c>
      <c r="B19" s="1" t="s">
        <v>27</v>
      </c>
      <c r="C19" s="1" t="s">
        <v>9</v>
      </c>
      <c r="D19" s="1">
        <v>59000</v>
      </c>
      <c r="E19" s="1">
        <v>3</v>
      </c>
      <c r="F19" s="3">
        <v>8.5000000000000006E-2</v>
      </c>
    </row>
    <row r="20" spans="1:6">
      <c r="A20" s="1">
        <v>19</v>
      </c>
      <c r="B20" s="1" t="s">
        <v>28</v>
      </c>
      <c r="C20" s="1" t="s">
        <v>11</v>
      </c>
      <c r="D20" s="1">
        <v>63000</v>
      </c>
      <c r="E20" s="1">
        <v>4</v>
      </c>
      <c r="F20" s="3">
        <v>7.4999999999999997E-2</v>
      </c>
    </row>
    <row r="21" spans="1:6">
      <c r="A21" s="1">
        <v>20</v>
      </c>
      <c r="B21" s="1" t="s">
        <v>29</v>
      </c>
      <c r="C21" s="1" t="s">
        <v>13</v>
      </c>
      <c r="D21" s="1">
        <v>55000</v>
      </c>
      <c r="E21" s="1">
        <v>1</v>
      </c>
      <c r="F21" s="2">
        <v>0.1</v>
      </c>
    </row>
    <row r="24" spans="1:6" ht="15">
      <c r="A24" s="4">
        <f>_xlfn.MAXIFS(D2:D21,C2:C21,"Sales",E2:E21,"&gt;=2")</f>
        <v>56000</v>
      </c>
    </row>
    <row r="26" spans="1:6" ht="15">
      <c r="A26" s="4">
        <f>_xlfn.MINIFS(F2:F21,C2:C21,"Finance",D2:D21,"&gt;58000")*100</f>
        <v>7.0000000000000009</v>
      </c>
    </row>
    <row r="28" spans="1:6" ht="15">
      <c r="A28" s="4">
        <f>COUNTIF(F2:F21,"&gt;=0.08")</f>
        <v>7</v>
      </c>
    </row>
    <row r="30" spans="1:6">
      <c r="A30">
        <f>COUNTIFS(C2:C21,"IT",D2:D21,"&gt;60000")</f>
        <v>3</v>
      </c>
    </row>
    <row r="32" spans="1:6">
      <c r="A32" s="5">
        <f>AVERAGEIF(F2:F21,"&lt;0.06",D2:D21)</f>
        <v>54666.666666666664</v>
      </c>
    </row>
    <row r="34" spans="1:1" ht="15">
      <c r="A34" s="4">
        <f>AVERAGEIFS(F2:F21,C2:C21,"Sales",E2:E21,"&gt;1")</f>
        <v>5.5000000000000007E-2</v>
      </c>
    </row>
    <row r="36" spans="1:1" ht="15">
      <c r="A36" s="4">
        <f>IFERROR(G2/F2,"Error")</f>
        <v>55000</v>
      </c>
    </row>
    <row r="38" spans="1:1" ht="15">
      <c r="A38" s="4">
        <f>LOOKUP("Grace Martin",B2:B21,D2:D21)</f>
        <v>58000</v>
      </c>
    </row>
    <row r="40" spans="1:1" ht="15">
      <c r="A40" s="4">
        <f>_xlfn.XLOOKUP("Sam Scott",B2:B21,D2:D21)</f>
        <v>63000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Alec Du Plessis</dc:creator>
  <cp:keywords/>
  <dc:description/>
  <cp:lastModifiedBy/>
  <cp:revision/>
  <dcterms:created xsi:type="dcterms:W3CDTF">2023-10-03T08:54:26Z</dcterms:created>
  <dcterms:modified xsi:type="dcterms:W3CDTF">2026-02-19T03:13:40Z</dcterms:modified>
  <cp:category/>
  <cp:contentStatus/>
</cp:coreProperties>
</file>