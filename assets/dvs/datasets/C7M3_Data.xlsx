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szul\Desktop\SII\Data Analyst\C7M3\"/>
    </mc:Choice>
  </mc:AlternateContent>
  <xr:revisionPtr revIDLastSave="0" documentId="13_ncr:1_{05400A44-0454-448F-A4E5-0A2737101DF4}" xr6:coauthVersionLast="47" xr6:coauthVersionMax="47" xr10:uidLastSave="{00000000-0000-0000-0000-000000000000}"/>
  <bookViews>
    <workbookView xWindow="-110" yWindow="-110" windowWidth="19420" windowHeight="10300" activeTab="3" xr2:uid="{A191B32D-153F-A845-97A6-24E4CD1C69E1}"/>
  </bookViews>
  <sheets>
    <sheet name="Histogram" sheetId="6" r:id="rId1"/>
    <sheet name="Scatter plot" sheetId="7" r:id="rId2"/>
    <sheet name="Combo chart" sheetId="9" r:id="rId3"/>
    <sheet name="Pivot Chart" sheetId="11" r:id="rId4"/>
    <sheet name="Bubble chart" sheetId="8" r:id="rId5"/>
    <sheet name="Column chart" sheetId="1" r:id="rId6"/>
    <sheet name="Line chart" sheetId="2" r:id="rId7"/>
    <sheet name="Pie chart" sheetId="3" r:id="rId8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Histogram!$J$5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E12" i="3" s="1"/>
  <c r="F6" i="3"/>
  <c r="E11" i="3" s="1"/>
  <c r="C11" i="3" l="1"/>
  <c r="D11" i="3"/>
  <c r="C12" i="3"/>
  <c r="F12" i="3" s="1"/>
  <c r="D12" i="3"/>
  <c r="F11" i="3" l="1"/>
</calcChain>
</file>

<file path=xl/sharedStrings.xml><?xml version="1.0" encoding="utf-8"?>
<sst xmlns="http://schemas.openxmlformats.org/spreadsheetml/2006/main" count="206" uniqueCount="134">
  <si>
    <t>Sales in England</t>
  </si>
  <si>
    <t>Sales in USA</t>
  </si>
  <si>
    <t>quarter</t>
  </si>
  <si>
    <t>Q1</t>
  </si>
  <si>
    <t>Q2</t>
  </si>
  <si>
    <t>Q3</t>
  </si>
  <si>
    <t>Q4</t>
  </si>
  <si>
    <t>month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</si>
  <si>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</si>
  <si>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</si>
  <si>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</si>
  <si>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</si>
  <si>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</si>
  <si>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</si>
  <si>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</si>
  <si>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</si>
  <si>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</si>
  <si>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</si>
  <si>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</si>
  <si>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in the USA</t>
  </si>
  <si>
    <t xml:space="preserve">may </t>
  </si>
  <si>
    <t>number of users</t>
  </si>
  <si>
    <t>male users</t>
  </si>
  <si>
    <t>female users</t>
  </si>
  <si>
    <t>ok</t>
  </si>
  <si>
    <t>total</t>
  </si>
  <si>
    <t>unsatisfied</t>
  </si>
  <si>
    <t>London</t>
  </si>
  <si>
    <t>Warsaw</t>
  </si>
  <si>
    <t>satisfied</t>
  </si>
  <si>
    <t>student</t>
  </si>
  <si>
    <t>test score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</si>
  <si>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</si>
  <si>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</si>
  <si>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</si>
  <si>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</si>
  <si>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</si>
  <si>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</si>
  <si>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</si>
  <si>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</si>
  <si>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</si>
  <si>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</si>
  <si>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</si>
  <si>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</si>
  <si>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</si>
  <si>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</si>
  <si>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</si>
  <si>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</si>
  <si>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</si>
  <si>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19</t>
  </si>
  <si>
    <t>student 18</t>
  </si>
  <si>
    <t>student 20</t>
  </si>
  <si>
    <t>student 21</t>
  </si>
  <si>
    <t>student 22</t>
  </si>
  <si>
    <t>student we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</si>
  <si>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</si>
  <si>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</si>
  <si>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</si>
  <si>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</si>
  <si>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</si>
  <si>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</si>
  <si>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</si>
  <si>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bins</t>
  </si>
  <si>
    <t>grades</t>
  </si>
  <si>
    <t>montly salary</t>
  </si>
  <si>
    <t>amount spent</t>
  </si>
  <si>
    <t xml:space="preserve">july </t>
  </si>
  <si>
    <t xml:space="preserve">october </t>
  </si>
  <si>
    <t>february</t>
  </si>
  <si>
    <t>marketing budget</t>
  </si>
  <si>
    <t>customer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</si>
  <si>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</si>
  <si>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</si>
  <si>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</si>
  <si>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</si>
  <si>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</si>
  <si>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</si>
  <si>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</si>
  <si>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</si>
  <si>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</si>
  <si>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</si>
  <si>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</si>
  <si>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 xml:space="preserve">number of items sold </t>
  </si>
  <si>
    <t>number of shops in a city</t>
  </si>
  <si>
    <t>number of billboards</t>
  </si>
  <si>
    <t>number of customers</t>
  </si>
  <si>
    <t>city</t>
  </si>
  <si>
    <t>Manchester</t>
  </si>
  <si>
    <t>Liverpool</t>
  </si>
  <si>
    <t>Leeds</t>
  </si>
  <si>
    <t>Birmingham</t>
  </si>
  <si>
    <t>Income from books sold</t>
  </si>
  <si>
    <t>customer spending</t>
  </si>
  <si>
    <t>montly sales</t>
  </si>
  <si>
    <t>target</t>
  </si>
  <si>
    <t>mach</t>
  </si>
  <si>
    <t xml:space="preserve">june </t>
  </si>
  <si>
    <t xml:space="preserve">september </t>
  </si>
  <si>
    <t xml:space="preserve">november </t>
  </si>
  <si>
    <t xml:space="preserve">december </t>
  </si>
  <si>
    <t>customers number</t>
  </si>
  <si>
    <t>store ID</t>
  </si>
  <si>
    <t>number of employees</t>
  </si>
  <si>
    <t>revenue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</si>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</sst>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)\ &quot;PLN&quot;_ ;_ * \(#,##0.00\)\ &quot;PLN&quot;_ ;_ * &quot;-&quot;??_)\ &quot;PLN&quot;_ ;_ @_ "/>
    <numFmt numFmtId="165" formatCode="_-[$£-809]* #,##0.00_-;\-[$£-809]* #,##0.00_-;_-[$£-809]* &quot;-&quot;??_-;_-@_-"/>
    <numFmt numFmtId="166" formatCode="_-[$£-809]* #,##0_-;\-[$£-809]* #,##0_-;_-[$£-809]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color rgb="FF202124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165" fontId="0" fillId="0" borderId="1" xfId="0" applyNumberFormat="1" applyBorder="1"/>
    <xf numFmtId="9" fontId="0" fillId="0" borderId="0" xfId="1" applyFont="1"/>
    <xf numFmtId="0" fontId="3" fillId="0" borderId="1" xfId="0" applyFont="1" applyBorder="1"/>
    <xf numFmtId="0" fontId="2" fillId="0" borderId="0" xfId="0" applyFont="1" applyAlignment="1">
      <alignment horizontal="center"/>
    </xf>
    <xf numFmtId="165" fontId="0" fillId="0" borderId="1" xfId="2" applyNumberFormat="1" applyFont="1" applyBorder="1"/>
    <xf numFmtId="9" fontId="0" fillId="0" borderId="1" xfId="1" applyFont="1" applyBorder="1"/>
    <xf numFmtId="9" fontId="0" fillId="0" borderId="1" xfId="0" applyNumberFormat="1" applyBorder="1"/>
    <xf numFmtId="3" fontId="0" fillId="0" borderId="1" xfId="0" applyNumberFormat="1" applyBorder="1"/>
    <xf numFmtId="165" fontId="0" fillId="0" borderId="0" xfId="2" applyNumberFormat="1" applyFont="1"/>
    <xf numFmtId="166" fontId="0" fillId="0" borderId="1" xfId="0" applyNumberFormat="1" applyBorder="1"/>
    <xf numFmtId="166" fontId="0" fillId="0" borderId="1" xfId="2" applyNumberFormat="1" applyFont="1" applyBorder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Currency" xfId="2" builtinId="4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B739-8CC5-DE41-B3AD-CFDC16463EEE}">
  <dimension ref="A1:P36"/>
  <sheetViews>
    <sheetView zoomScale="67" workbookViewId="0">
      <selection activeCell="N4" sqref="N4:Q14"/>
    </sheetView>
  </sheetViews>
  <sheetFormatPr defaultColWidth="10.6640625" defaultRowHeight="15.5" x14ac:dyDescent="0.35"/>
  <sheetData>
    <row r="1" spans="1:16" x14ac:dyDescent="0.35">
      <c r="A1" s="5"/>
      <c r="B1" s="5"/>
    </row>
    <row r="6" spans="1:16" x14ac:dyDescent="0.35">
      <c r="C6" s="1" t="s">
        <v>30</v>
      </c>
      <c r="D6" s="1" t="s">
        <v>31</v>
      </c>
      <c r="E6" s="1" t="s">
        <v>62</v>
      </c>
      <c r="F6" s="1" t="s">
        <v>63</v>
      </c>
      <c r="H6" s="5"/>
      <c r="O6" s="5"/>
      <c r="P6" s="5"/>
    </row>
    <row r="7" spans="1:16" x14ac:dyDescent="0.35">
      <c r="C7" s="1" t="s">
        <v>32</v>
      </c>
      <c r="D7" s="1">
        <v>20</v>
      </c>
      <c r="E7" s="1">
        <v>20</v>
      </c>
      <c r="F7" s="1">
        <v>1</v>
      </c>
    </row>
    <row r="8" spans="1:16" x14ac:dyDescent="0.35">
      <c r="C8" s="1" t="s">
        <v>33</v>
      </c>
      <c r="D8" s="1">
        <v>35</v>
      </c>
      <c r="E8" s="1">
        <v>30</v>
      </c>
      <c r="F8" s="1">
        <v>2</v>
      </c>
    </row>
    <row r="9" spans="1:16" x14ac:dyDescent="0.35">
      <c r="C9" s="1" t="s">
        <v>34</v>
      </c>
      <c r="D9" s="1">
        <v>60</v>
      </c>
      <c r="E9" s="1">
        <v>50</v>
      </c>
      <c r="F9" s="1">
        <v>3</v>
      </c>
    </row>
    <row r="10" spans="1:16" x14ac:dyDescent="0.35">
      <c r="C10" s="1" t="s">
        <v>35</v>
      </c>
      <c r="D10" s="1">
        <v>70</v>
      </c>
      <c r="E10" s="1">
        <v>70</v>
      </c>
      <c r="F10" s="1">
        <v>4</v>
      </c>
    </row>
    <row r="11" spans="1:16" x14ac:dyDescent="0.35">
      <c r="C11" s="1" t="s">
        <v>36</v>
      </c>
      <c r="D11" s="1">
        <v>59</v>
      </c>
      <c r="E11" s="1">
        <v>90</v>
      </c>
      <c r="F11" s="1">
        <v>5</v>
      </c>
    </row>
    <row r="12" spans="1:16" x14ac:dyDescent="0.35">
      <c r="C12" s="1" t="s">
        <v>37</v>
      </c>
      <c r="D12" s="1">
        <v>98</v>
      </c>
      <c r="E12" s="1">
        <v>100</v>
      </c>
      <c r="F12" s="1">
        <v>6</v>
      </c>
    </row>
    <row r="13" spans="1:16" x14ac:dyDescent="0.35">
      <c r="C13" s="1" t="s">
        <v>38</v>
      </c>
      <c r="D13" s="1">
        <v>100</v>
      </c>
    </row>
    <row r="14" spans="1:16" x14ac:dyDescent="0.35">
      <c r="C14" s="1" t="s">
        <v>39</v>
      </c>
      <c r="D14" s="1">
        <v>47</v>
      </c>
    </row>
    <row r="15" spans="1:16" x14ac:dyDescent="0.35">
      <c r="C15" s="1" t="s">
        <v>40</v>
      </c>
      <c r="D15" s="1">
        <v>35</v>
      </c>
    </row>
    <row r="16" spans="1:16" x14ac:dyDescent="0.35">
      <c r="C16" s="1" t="s">
        <v>41</v>
      </c>
      <c r="D16" s="1">
        <v>22</v>
      </c>
    </row>
    <row r="17" spans="3:10" x14ac:dyDescent="0.35">
      <c r="C17" s="1" t="s">
        <v>42</v>
      </c>
      <c r="D17" s="1">
        <v>68</v>
      </c>
    </row>
    <row r="18" spans="3:10" x14ac:dyDescent="0.35">
      <c r="C18" s="1" t="s">
        <v>43</v>
      </c>
      <c r="D18" s="1">
        <v>53</v>
      </c>
      <c r="I18" s="5"/>
      <c r="J18" s="5"/>
    </row>
    <row r="19" spans="3:10" x14ac:dyDescent="0.35">
      <c r="C19" s="1" t="s">
        <v>44</v>
      </c>
      <c r="D19" s="1">
        <v>86</v>
      </c>
    </row>
    <row r="20" spans="3:10" x14ac:dyDescent="0.35">
      <c r="C20" s="1" t="s">
        <v>45</v>
      </c>
      <c r="D20" s="1">
        <v>83</v>
      </c>
    </row>
    <row r="21" spans="3:10" x14ac:dyDescent="0.35">
      <c r="C21" s="1" t="s">
        <v>46</v>
      </c>
      <c r="D21" s="1">
        <v>97</v>
      </c>
    </row>
    <row r="22" spans="3:10" x14ac:dyDescent="0.35">
      <c r="C22" s="1" t="s">
        <v>47</v>
      </c>
      <c r="D22" s="1">
        <v>75</v>
      </c>
    </row>
    <row r="23" spans="3:10" x14ac:dyDescent="0.35">
      <c r="C23" s="1" t="s">
        <v>48</v>
      </c>
      <c r="D23" s="1">
        <v>47</v>
      </c>
    </row>
    <row r="24" spans="3:10" x14ac:dyDescent="0.35">
      <c r="C24" s="1" t="s">
        <v>50</v>
      </c>
      <c r="D24" s="1">
        <v>79</v>
      </c>
    </row>
    <row r="25" spans="3:10" x14ac:dyDescent="0.35">
      <c r="C25" s="1" t="s">
        <v>49</v>
      </c>
      <c r="D25" s="1">
        <v>29</v>
      </c>
    </row>
    <row r="26" spans="3:10" x14ac:dyDescent="0.35">
      <c r="C26" s="1" t="s">
        <v>51</v>
      </c>
      <c r="D26" s="1">
        <v>18</v>
      </c>
    </row>
    <row r="27" spans="3:10" x14ac:dyDescent="0.35">
      <c r="C27" s="1" t="s">
        <v>52</v>
      </c>
      <c r="D27" s="1">
        <v>46</v>
      </c>
    </row>
    <row r="28" spans="3:10" x14ac:dyDescent="0.35">
      <c r="C28" s="1" t="s">
        <v>53</v>
      </c>
      <c r="D28" s="1">
        <v>55</v>
      </c>
    </row>
    <row r="29" spans="3:10" x14ac:dyDescent="0.35">
      <c r="C29" s="1" t="s">
        <v>54</v>
      </c>
      <c r="D29" s="1">
        <v>79</v>
      </c>
    </row>
    <row r="30" spans="3:10" x14ac:dyDescent="0.35">
      <c r="C30" s="1" t="s">
        <v>55</v>
      </c>
      <c r="D30" s="1">
        <v>90</v>
      </c>
    </row>
    <row r="31" spans="3:10" x14ac:dyDescent="0.35">
      <c r="C31" s="1" t="s">
        <v>56</v>
      </c>
      <c r="D31" s="1">
        <v>81</v>
      </c>
    </row>
    <row r="32" spans="3:10" x14ac:dyDescent="0.35">
      <c r="C32" s="1" t="s">
        <v>57</v>
      </c>
      <c r="D32" s="1">
        <v>46</v>
      </c>
    </row>
    <row r="33" spans="3:4" x14ac:dyDescent="0.35">
      <c r="C33" s="1" t="s">
        <v>58</v>
      </c>
      <c r="D33" s="1">
        <v>27</v>
      </c>
    </row>
    <row r="34" spans="3:4" x14ac:dyDescent="0.35">
      <c r="C34" s="1" t="s">
        <v>59</v>
      </c>
      <c r="D34" s="1">
        <v>46</v>
      </c>
    </row>
    <row r="35" spans="3:4" x14ac:dyDescent="0.35">
      <c r="C35" s="1" t="s">
        <v>60</v>
      </c>
      <c r="D35" s="1">
        <v>74</v>
      </c>
    </row>
    <row r="36" spans="3:4" x14ac:dyDescent="0.35">
      <c r="C36" s="1" t="s">
        <v>61</v>
      </c>
      <c r="D36" s="1">
        <v>72</v>
      </c>
    </row>
  </sheetData>
  <sortState xmlns:xlrd2="http://schemas.microsoft.com/office/spreadsheetml/2017/richdata2" ref="O7:O12">
    <sortCondition ref="O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5EF4-4008-3545-9BCF-EB872A47FFBB}">
  <dimension ref="B3:H16"/>
  <sheetViews>
    <sheetView zoomScale="62" workbookViewId="0">
      <selection activeCell="F3" sqref="F3:H16"/>
    </sheetView>
  </sheetViews>
  <sheetFormatPr defaultColWidth="10.6640625" defaultRowHeight="15.5" x14ac:dyDescent="0.35"/>
  <cols>
    <col min="3" max="3" width="15.6640625" bestFit="1" customWidth="1"/>
    <col min="4" max="4" width="13.4140625" bestFit="1" customWidth="1"/>
    <col min="7" max="7" width="15.83203125" bestFit="1" customWidth="1"/>
    <col min="8" max="8" width="19.33203125" bestFit="1" customWidth="1"/>
    <col min="9" max="9" width="20.25" bestFit="1" customWidth="1"/>
    <col min="10" max="10" width="19.5" bestFit="1" customWidth="1"/>
  </cols>
  <sheetData>
    <row r="3" spans="2:8" x14ac:dyDescent="0.35">
      <c r="B3" s="15" t="s">
        <v>92</v>
      </c>
      <c r="C3" s="15"/>
      <c r="D3" s="15"/>
      <c r="F3" s="16" t="s">
        <v>93</v>
      </c>
      <c r="G3" s="17"/>
      <c r="H3" s="18"/>
    </row>
    <row r="4" spans="2:8" x14ac:dyDescent="0.35">
      <c r="B4" s="1" t="s">
        <v>70</v>
      </c>
      <c r="C4" s="1" t="s">
        <v>64</v>
      </c>
      <c r="D4" s="1" t="s">
        <v>65</v>
      </c>
      <c r="F4" s="1" t="s">
        <v>7</v>
      </c>
      <c r="G4" s="1" t="s">
        <v>69</v>
      </c>
      <c r="H4" s="1" t="s">
        <v>82</v>
      </c>
    </row>
    <row r="5" spans="2:8" x14ac:dyDescent="0.35">
      <c r="B5" s="1" t="s">
        <v>71</v>
      </c>
      <c r="C5" s="11">
        <v>12000</v>
      </c>
      <c r="D5" s="12">
        <v>350</v>
      </c>
      <c r="F5" s="1" t="s">
        <v>8</v>
      </c>
      <c r="G5" s="6">
        <v>200</v>
      </c>
      <c r="H5" s="1">
        <v>163</v>
      </c>
    </row>
    <row r="6" spans="2:8" x14ac:dyDescent="0.35">
      <c r="B6" s="1" t="s">
        <v>72</v>
      </c>
      <c r="C6" s="11">
        <v>4500</v>
      </c>
      <c r="D6" s="12">
        <v>200</v>
      </c>
      <c r="F6" s="1" t="s">
        <v>68</v>
      </c>
      <c r="G6" s="6">
        <v>400</v>
      </c>
      <c r="H6" s="1">
        <v>492</v>
      </c>
    </row>
    <row r="7" spans="2:8" x14ac:dyDescent="0.35">
      <c r="B7" s="1" t="s">
        <v>73</v>
      </c>
      <c r="C7" s="11">
        <v>34000</v>
      </c>
      <c r="D7" s="12">
        <v>470</v>
      </c>
      <c r="F7" s="1" t="s">
        <v>9</v>
      </c>
      <c r="G7" s="6">
        <v>400</v>
      </c>
      <c r="H7" s="1">
        <v>428</v>
      </c>
    </row>
    <row r="8" spans="2:8" x14ac:dyDescent="0.35">
      <c r="B8" s="1" t="s">
        <v>74</v>
      </c>
      <c r="C8" s="11">
        <v>4590</v>
      </c>
      <c r="D8" s="12">
        <v>39</v>
      </c>
      <c r="F8" s="1" t="s">
        <v>10</v>
      </c>
      <c r="G8" s="6">
        <v>400</v>
      </c>
      <c r="H8" s="1">
        <v>587</v>
      </c>
    </row>
    <row r="9" spans="2:8" x14ac:dyDescent="0.35">
      <c r="B9" s="1" t="s">
        <v>75</v>
      </c>
      <c r="C9" s="11">
        <v>5600</v>
      </c>
      <c r="D9" s="12">
        <v>427</v>
      </c>
      <c r="F9" s="1" t="s">
        <v>11</v>
      </c>
      <c r="G9" s="6">
        <v>600</v>
      </c>
      <c r="H9" s="1">
        <v>897</v>
      </c>
    </row>
    <row r="10" spans="2:8" x14ac:dyDescent="0.35">
      <c r="B10" s="1" t="s">
        <v>76</v>
      </c>
      <c r="C10" s="11">
        <v>13200</v>
      </c>
      <c r="D10" s="12">
        <v>790</v>
      </c>
      <c r="F10" s="1" t="s">
        <v>12</v>
      </c>
      <c r="G10" s="6">
        <v>300</v>
      </c>
      <c r="H10" s="1">
        <v>498</v>
      </c>
    </row>
    <row r="11" spans="2:8" x14ac:dyDescent="0.35">
      <c r="B11" s="1" t="s">
        <v>77</v>
      </c>
      <c r="C11" s="11">
        <v>23000</v>
      </c>
      <c r="D11" s="12">
        <v>960</v>
      </c>
      <c r="F11" s="1" t="s">
        <v>66</v>
      </c>
      <c r="G11" s="6">
        <v>300</v>
      </c>
      <c r="H11" s="1">
        <v>298</v>
      </c>
    </row>
    <row r="12" spans="2:8" x14ac:dyDescent="0.35">
      <c r="B12" s="1" t="s">
        <v>78</v>
      </c>
      <c r="C12" s="11">
        <v>5700</v>
      </c>
      <c r="D12" s="12">
        <v>320</v>
      </c>
      <c r="F12" s="1" t="s">
        <v>14</v>
      </c>
      <c r="G12" s="6">
        <v>200</v>
      </c>
      <c r="H12" s="1">
        <v>276</v>
      </c>
    </row>
    <row r="13" spans="2:8" x14ac:dyDescent="0.35">
      <c r="B13" s="1" t="s">
        <v>79</v>
      </c>
      <c r="C13" s="11">
        <v>3400</v>
      </c>
      <c r="D13" s="12">
        <v>21</v>
      </c>
      <c r="F13" s="1" t="s">
        <v>15</v>
      </c>
      <c r="G13" s="6">
        <v>400</v>
      </c>
      <c r="H13" s="1">
        <v>587</v>
      </c>
    </row>
    <row r="14" spans="2:8" x14ac:dyDescent="0.35">
      <c r="B14" s="1" t="s">
        <v>80</v>
      </c>
      <c r="C14" s="11">
        <v>6500</v>
      </c>
      <c r="D14" s="12">
        <v>130</v>
      </c>
      <c r="F14" s="1" t="s">
        <v>67</v>
      </c>
      <c r="G14" s="6">
        <v>400</v>
      </c>
      <c r="H14" s="1">
        <v>580</v>
      </c>
    </row>
    <row r="15" spans="2:8" x14ac:dyDescent="0.35">
      <c r="B15" s="1" t="s">
        <v>81</v>
      </c>
      <c r="C15" s="11">
        <v>7300</v>
      </c>
      <c r="D15" s="12">
        <v>348</v>
      </c>
      <c r="F15" s="1" t="s">
        <v>17</v>
      </c>
      <c r="G15" s="6">
        <v>500</v>
      </c>
      <c r="H15" s="1">
        <v>890</v>
      </c>
    </row>
    <row r="16" spans="2:8" x14ac:dyDescent="0.35">
      <c r="D16" s="10"/>
      <c r="F16" s="1" t="s">
        <v>18</v>
      </c>
      <c r="G16" s="6">
        <v>500</v>
      </c>
      <c r="H16" s="1">
        <v>798</v>
      </c>
    </row>
  </sheetData>
  <mergeCells count="2">
    <mergeCell ref="B3:D3"/>
    <mergeCell ref="F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F4B43-15C0-4CCC-AC84-EB3CE1932193}">
  <dimension ref="C3:J16"/>
  <sheetViews>
    <sheetView topLeftCell="B1" workbookViewId="0">
      <selection activeCell="H3" sqref="H3:J16"/>
    </sheetView>
  </sheetViews>
  <sheetFormatPr defaultRowHeight="15.5" x14ac:dyDescent="0.35"/>
  <cols>
    <col min="1" max="1" width="10" bestFit="1" customWidth="1"/>
    <col min="3" max="3" width="10" bestFit="1" customWidth="1"/>
    <col min="4" max="4" width="16.1640625" bestFit="1" customWidth="1"/>
    <col min="8" max="8" width="9.58203125" bestFit="1" customWidth="1"/>
    <col min="9" max="9" width="15.4140625" bestFit="1" customWidth="1"/>
    <col min="10" max="10" width="18.6640625" bestFit="1" customWidth="1"/>
  </cols>
  <sheetData>
    <row r="3" spans="3:10" x14ac:dyDescent="0.35">
      <c r="C3" s="1" t="s">
        <v>7</v>
      </c>
      <c r="D3" s="1" t="s">
        <v>100</v>
      </c>
      <c r="E3" s="1" t="s">
        <v>94</v>
      </c>
      <c r="H3" s="16" t="s">
        <v>93</v>
      </c>
      <c r="I3" s="17"/>
      <c r="J3" s="18"/>
    </row>
    <row r="4" spans="3:10" x14ac:dyDescent="0.35">
      <c r="C4" s="1" t="s">
        <v>8</v>
      </c>
      <c r="D4" s="1">
        <v>35670</v>
      </c>
      <c r="E4" s="1">
        <v>40000</v>
      </c>
      <c r="H4" s="1" t="s">
        <v>7</v>
      </c>
      <c r="I4" s="1" t="s">
        <v>69</v>
      </c>
      <c r="J4" s="1" t="s">
        <v>82</v>
      </c>
    </row>
    <row r="5" spans="3:10" x14ac:dyDescent="0.35">
      <c r="C5" s="1" t="s">
        <v>68</v>
      </c>
      <c r="D5" s="1">
        <v>39950</v>
      </c>
      <c r="E5" s="1">
        <v>40000</v>
      </c>
      <c r="H5" s="1" t="s">
        <v>8</v>
      </c>
      <c r="I5" s="6">
        <v>200</v>
      </c>
      <c r="J5" s="1">
        <v>163</v>
      </c>
    </row>
    <row r="6" spans="3:10" x14ac:dyDescent="0.35">
      <c r="C6" s="1" t="s">
        <v>95</v>
      </c>
      <c r="D6" s="1">
        <v>40120</v>
      </c>
      <c r="E6" s="1">
        <v>40000</v>
      </c>
      <c r="H6" s="1" t="s">
        <v>68</v>
      </c>
      <c r="I6" s="6">
        <v>400</v>
      </c>
      <c r="J6" s="1">
        <v>492</v>
      </c>
    </row>
    <row r="7" spans="3:10" x14ac:dyDescent="0.35">
      <c r="C7" s="1" t="s">
        <v>10</v>
      </c>
      <c r="D7" s="1">
        <v>30890</v>
      </c>
      <c r="E7" s="1">
        <v>40000</v>
      </c>
      <c r="H7" s="1" t="s">
        <v>9</v>
      </c>
      <c r="I7" s="6">
        <v>400</v>
      </c>
      <c r="J7" s="1">
        <v>428</v>
      </c>
    </row>
    <row r="8" spans="3:10" x14ac:dyDescent="0.35">
      <c r="C8" s="1" t="s">
        <v>20</v>
      </c>
      <c r="D8" s="1">
        <v>37200</v>
      </c>
      <c r="E8" s="1">
        <v>40000</v>
      </c>
      <c r="H8" s="1" t="s">
        <v>10</v>
      </c>
      <c r="I8" s="6">
        <v>400</v>
      </c>
      <c r="J8" s="1">
        <v>587</v>
      </c>
    </row>
    <row r="9" spans="3:10" x14ac:dyDescent="0.35">
      <c r="C9" s="1" t="s">
        <v>96</v>
      </c>
      <c r="D9" s="1">
        <v>40450</v>
      </c>
      <c r="E9" s="1">
        <v>40000</v>
      </c>
      <c r="H9" s="1" t="s">
        <v>11</v>
      </c>
      <c r="I9" s="6">
        <v>600</v>
      </c>
      <c r="J9" s="1">
        <v>897</v>
      </c>
    </row>
    <row r="10" spans="3:10" x14ac:dyDescent="0.35">
      <c r="C10" s="1" t="s">
        <v>66</v>
      </c>
      <c r="D10" s="1">
        <v>41000</v>
      </c>
      <c r="E10" s="1">
        <v>40000</v>
      </c>
      <c r="H10" s="1" t="s">
        <v>12</v>
      </c>
      <c r="I10" s="6">
        <v>300</v>
      </c>
      <c r="J10" s="1">
        <v>498</v>
      </c>
    </row>
    <row r="11" spans="3:10" x14ac:dyDescent="0.35">
      <c r="C11" s="1" t="s">
        <v>14</v>
      </c>
      <c r="D11" s="1">
        <v>39640</v>
      </c>
      <c r="E11" s="1">
        <v>40000</v>
      </c>
      <c r="H11" s="1" t="s">
        <v>66</v>
      </c>
      <c r="I11" s="6">
        <v>300</v>
      </c>
      <c r="J11" s="1">
        <v>298</v>
      </c>
    </row>
    <row r="12" spans="3:10" x14ac:dyDescent="0.35">
      <c r="C12" s="1" t="s">
        <v>97</v>
      </c>
      <c r="D12" s="1">
        <v>45100</v>
      </c>
      <c r="E12" s="1">
        <v>40000</v>
      </c>
      <c r="H12" s="1" t="s">
        <v>14</v>
      </c>
      <c r="I12" s="6">
        <v>200</v>
      </c>
      <c r="J12" s="1">
        <v>276</v>
      </c>
    </row>
    <row r="13" spans="3:10" x14ac:dyDescent="0.35">
      <c r="C13" s="1" t="s">
        <v>67</v>
      </c>
      <c r="D13" s="1">
        <v>42300</v>
      </c>
      <c r="E13" s="1">
        <v>40000</v>
      </c>
      <c r="H13" s="1" t="s">
        <v>15</v>
      </c>
      <c r="I13" s="6">
        <v>400</v>
      </c>
      <c r="J13" s="1">
        <v>587</v>
      </c>
    </row>
    <row r="14" spans="3:10" x14ac:dyDescent="0.35">
      <c r="C14" s="1" t="s">
        <v>98</v>
      </c>
      <c r="D14" s="1">
        <v>39980</v>
      </c>
      <c r="E14" s="1">
        <v>40000</v>
      </c>
      <c r="H14" s="1" t="s">
        <v>67</v>
      </c>
      <c r="I14" s="6">
        <v>400</v>
      </c>
      <c r="J14" s="1">
        <v>580</v>
      </c>
    </row>
    <row r="15" spans="3:10" x14ac:dyDescent="0.35">
      <c r="C15" s="1" t="s">
        <v>99</v>
      </c>
      <c r="D15" s="1">
        <v>45890</v>
      </c>
      <c r="E15" s="1">
        <v>40000</v>
      </c>
      <c r="H15" s="1" t="s">
        <v>17</v>
      </c>
      <c r="I15" s="6">
        <v>500</v>
      </c>
      <c r="J15" s="1">
        <v>890</v>
      </c>
    </row>
    <row r="16" spans="3:10" x14ac:dyDescent="0.35">
      <c r="H16" s="1" t="s">
        <v>18</v>
      </c>
      <c r="I16" s="6">
        <v>500</v>
      </c>
      <c r="J16" s="1">
        <v>798</v>
      </c>
    </row>
  </sheetData>
  <mergeCells count="1">
    <mergeCell ref="H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E66B-D965-4E93-9B46-AFB0107CB354}">
  <dimension ref="C2:F32"/>
  <sheetViews>
    <sheetView tabSelected="1" zoomScale="54" workbookViewId="0">
      <selection activeCell="H17" sqref="H17"/>
    </sheetView>
  </sheetViews>
  <sheetFormatPr defaultRowHeight="15.5" x14ac:dyDescent="0.35"/>
  <sheetData>
    <row r="2" spans="3:6" x14ac:dyDescent="0.35">
      <c r="C2" s="1" t="s">
        <v>101</v>
      </c>
      <c r="D2" s="13" t="s">
        <v>102</v>
      </c>
      <c r="E2" s="1" t="s">
        <v>85</v>
      </c>
      <c r="F2" s="1" t="s">
        <v>103</v>
      </c>
    </row>
    <row r="3" spans="3:6" x14ac:dyDescent="0.35">
      <c r="C3" s="1" t="s">
        <v>104</v>
      </c>
      <c r="D3" s="14">
        <v>30</v>
      </c>
      <c r="E3" s="1">
        <v>28980</v>
      </c>
      <c r="F3" s="1">
        <v>80000</v>
      </c>
    </row>
    <row r="4" spans="3:6" x14ac:dyDescent="0.35">
      <c r="C4" s="1" t="s">
        <v>105</v>
      </c>
      <c r="D4" s="14">
        <v>24</v>
      </c>
      <c r="E4" s="1">
        <v>29042</v>
      </c>
      <c r="F4" s="1">
        <v>70000</v>
      </c>
    </row>
    <row r="5" spans="3:6" x14ac:dyDescent="0.35">
      <c r="C5" s="1" t="s">
        <v>106</v>
      </c>
      <c r="D5" s="14">
        <v>50</v>
      </c>
      <c r="E5" s="1">
        <v>78291</v>
      </c>
      <c r="F5" s="1">
        <v>100000</v>
      </c>
    </row>
    <row r="6" spans="3:6" x14ac:dyDescent="0.35">
      <c r="C6" s="1" t="s">
        <v>107</v>
      </c>
      <c r="D6" s="14">
        <v>28</v>
      </c>
      <c r="E6" s="1">
        <v>29832</v>
      </c>
      <c r="F6" s="1">
        <v>50000</v>
      </c>
    </row>
    <row r="7" spans="3:6" x14ac:dyDescent="0.35">
      <c r="C7" s="1" t="s">
        <v>108</v>
      </c>
      <c r="D7" s="14">
        <v>53</v>
      </c>
      <c r="E7" s="1">
        <v>58782</v>
      </c>
      <c r="F7" s="1">
        <v>70000</v>
      </c>
    </row>
    <row r="8" spans="3:6" x14ac:dyDescent="0.35">
      <c r="C8" s="1" t="s">
        <v>109</v>
      </c>
      <c r="D8" s="14">
        <v>32</v>
      </c>
      <c r="E8" s="1">
        <v>38921</v>
      </c>
      <c r="F8" s="1">
        <v>50000</v>
      </c>
    </row>
    <row r="9" spans="3:6" x14ac:dyDescent="0.35">
      <c r="C9" s="1" t="s">
        <v>110</v>
      </c>
      <c r="D9" s="14">
        <v>14</v>
      </c>
      <c r="E9" s="1">
        <v>19482</v>
      </c>
      <c r="F9" s="1">
        <v>30000</v>
      </c>
    </row>
    <row r="10" spans="3:6" x14ac:dyDescent="0.35">
      <c r="C10" s="1" t="s">
        <v>111</v>
      </c>
      <c r="D10" s="14">
        <v>25</v>
      </c>
      <c r="E10" s="1">
        <v>23843</v>
      </c>
      <c r="F10" s="1">
        <v>40000</v>
      </c>
    </row>
    <row r="11" spans="3:6" x14ac:dyDescent="0.35">
      <c r="C11" s="1" t="s">
        <v>112</v>
      </c>
      <c r="D11" s="14">
        <v>32</v>
      </c>
      <c r="E11" s="1">
        <v>34902</v>
      </c>
      <c r="F11" s="1">
        <v>50000</v>
      </c>
    </row>
    <row r="12" spans="3:6" x14ac:dyDescent="0.35">
      <c r="C12" s="1" t="s">
        <v>113</v>
      </c>
      <c r="D12" s="14">
        <v>16</v>
      </c>
      <c r="E12" s="1">
        <v>19482</v>
      </c>
      <c r="F12" s="1">
        <v>30000</v>
      </c>
    </row>
    <row r="13" spans="3:6" x14ac:dyDescent="0.35">
      <c r="C13" s="1" t="s">
        <v>114</v>
      </c>
      <c r="D13" s="14">
        <v>37</v>
      </c>
      <c r="E13" s="1">
        <v>38582</v>
      </c>
      <c r="F13" s="1">
        <v>60000</v>
      </c>
    </row>
    <row r="14" spans="3:6" x14ac:dyDescent="0.35">
      <c r="C14" s="1" t="s">
        <v>115</v>
      </c>
      <c r="D14" s="14">
        <v>28</v>
      </c>
      <c r="E14" s="1">
        <v>29483</v>
      </c>
      <c r="F14" s="1">
        <v>40000</v>
      </c>
    </row>
    <row r="15" spans="3:6" x14ac:dyDescent="0.35">
      <c r="C15" s="1" t="s">
        <v>116</v>
      </c>
      <c r="D15" s="14">
        <v>32</v>
      </c>
      <c r="E15" s="1">
        <v>31258</v>
      </c>
      <c r="F15" s="1">
        <v>50000</v>
      </c>
    </row>
    <row r="16" spans="3:6" x14ac:dyDescent="0.35">
      <c r="C16" s="1" t="s">
        <v>117</v>
      </c>
      <c r="D16" s="14">
        <v>12</v>
      </c>
      <c r="E16" s="1">
        <v>1372</v>
      </c>
      <c r="F16" s="1">
        <v>30000</v>
      </c>
    </row>
    <row r="17" spans="3:6" x14ac:dyDescent="0.35">
      <c r="C17" s="1" t="s">
        <v>118</v>
      </c>
      <c r="D17" s="14">
        <v>22</v>
      </c>
      <c r="E17" s="1">
        <v>20483</v>
      </c>
      <c r="F17" s="1">
        <v>60000</v>
      </c>
    </row>
    <row r="18" spans="3:6" x14ac:dyDescent="0.35">
      <c r="C18" s="1" t="s">
        <v>119</v>
      </c>
      <c r="D18" s="14">
        <v>32</v>
      </c>
      <c r="E18" s="1">
        <v>33716</v>
      </c>
      <c r="F18" s="1">
        <v>50000</v>
      </c>
    </row>
    <row r="19" spans="3:6" x14ac:dyDescent="0.35">
      <c r="C19" s="1" t="s">
        <v>120</v>
      </c>
      <c r="D19" s="14">
        <v>15</v>
      </c>
      <c r="E19" s="1">
        <v>16388</v>
      </c>
      <c r="F19" s="1">
        <v>30000</v>
      </c>
    </row>
    <row r="20" spans="3:6" x14ac:dyDescent="0.35">
      <c r="C20" s="1" t="s">
        <v>121</v>
      </c>
      <c r="D20" s="14">
        <v>30</v>
      </c>
      <c r="E20" s="1">
        <v>38271</v>
      </c>
      <c r="F20" s="1">
        <v>60000</v>
      </c>
    </row>
    <row r="21" spans="3:6" x14ac:dyDescent="0.35">
      <c r="C21" s="1" t="s">
        <v>122</v>
      </c>
      <c r="D21" s="14">
        <v>21</v>
      </c>
      <c r="E21" s="1">
        <v>22793</v>
      </c>
      <c r="F21" s="1">
        <v>40000</v>
      </c>
    </row>
    <row r="22" spans="3:6" x14ac:dyDescent="0.35">
      <c r="C22" s="1" t="s">
        <v>123</v>
      </c>
      <c r="D22" s="14">
        <v>23</v>
      </c>
      <c r="E22" s="1">
        <v>28473</v>
      </c>
      <c r="F22" s="1">
        <v>50000</v>
      </c>
    </row>
    <row r="23" spans="3:6" x14ac:dyDescent="0.35">
      <c r="C23" s="1" t="s">
        <v>124</v>
      </c>
      <c r="D23" s="14">
        <v>54</v>
      </c>
      <c r="E23" s="1">
        <v>58792</v>
      </c>
      <c r="F23" s="1">
        <v>90000</v>
      </c>
    </row>
    <row r="24" spans="3:6" x14ac:dyDescent="0.35">
      <c r="C24" s="1" t="s">
        <v>125</v>
      </c>
      <c r="D24" s="14">
        <v>28</v>
      </c>
      <c r="E24" s="1">
        <v>23801</v>
      </c>
      <c r="F24" s="1">
        <v>40000</v>
      </c>
    </row>
    <row r="25" spans="3:6" x14ac:dyDescent="0.35">
      <c r="C25" s="1" t="s">
        <v>126</v>
      </c>
      <c r="D25" s="14">
        <v>21</v>
      </c>
      <c r="E25" s="1">
        <v>20981</v>
      </c>
      <c r="F25" s="1">
        <v>60000</v>
      </c>
    </row>
    <row r="26" spans="3:6" x14ac:dyDescent="0.35">
      <c r="C26" s="1" t="s">
        <v>127</v>
      </c>
      <c r="D26" s="14">
        <v>11</v>
      </c>
      <c r="E26" s="1">
        <v>19723</v>
      </c>
      <c r="F26" s="1">
        <v>20000</v>
      </c>
    </row>
    <row r="27" spans="3:6" x14ac:dyDescent="0.35">
      <c r="C27" s="1" t="s">
        <v>128</v>
      </c>
      <c r="D27" s="14">
        <v>26</v>
      </c>
      <c r="E27" s="1">
        <v>25892</v>
      </c>
      <c r="F27" s="1">
        <v>30000</v>
      </c>
    </row>
    <row r="28" spans="3:6" x14ac:dyDescent="0.35">
      <c r="C28" s="1" t="s">
        <v>129</v>
      </c>
      <c r="D28" s="14">
        <v>34</v>
      </c>
      <c r="E28" s="1">
        <v>38524</v>
      </c>
      <c r="F28" s="1">
        <v>50000</v>
      </c>
    </row>
    <row r="29" spans="3:6" x14ac:dyDescent="0.35">
      <c r="C29" s="1" t="s">
        <v>130</v>
      </c>
      <c r="D29" s="14">
        <v>24</v>
      </c>
      <c r="E29" s="1">
        <v>28482</v>
      </c>
      <c r="F29" s="1">
        <v>30000</v>
      </c>
    </row>
    <row r="30" spans="3:6" x14ac:dyDescent="0.35">
      <c r="C30" s="1" t="s">
        <v>131</v>
      </c>
      <c r="D30" s="14">
        <v>21</v>
      </c>
      <c r="E30" s="1">
        <v>20812</v>
      </c>
      <c r="F30" s="1">
        <v>40000</v>
      </c>
    </row>
    <row r="31" spans="3:6" x14ac:dyDescent="0.35">
      <c r="C31" s="1" t="s">
        <v>132</v>
      </c>
      <c r="D31" s="14">
        <v>11</v>
      </c>
      <c r="E31" s="1">
        <v>19372</v>
      </c>
      <c r="F31" s="1">
        <v>30000</v>
      </c>
    </row>
    <row r="32" spans="3:6" x14ac:dyDescent="0.35">
      <c r="C32" s="1" t="s">
        <v>133</v>
      </c>
      <c r="D32" s="14">
        <v>19</v>
      </c>
      <c r="E32" s="1">
        <v>29478</v>
      </c>
      <c r="F32" s="1">
        <v>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50A5-F1F1-D842-94BF-254A844A90CB}">
  <dimension ref="B6:E11"/>
  <sheetViews>
    <sheetView zoomScale="31" workbookViewId="0">
      <selection activeCell="N15" sqref="N15"/>
    </sheetView>
  </sheetViews>
  <sheetFormatPr defaultColWidth="10.6640625" defaultRowHeight="15.5" x14ac:dyDescent="0.35"/>
  <cols>
    <col min="2" max="2" width="11.33203125" bestFit="1" customWidth="1"/>
    <col min="3" max="3" width="22" bestFit="1" customWidth="1"/>
    <col min="4" max="4" width="19.6640625" bestFit="1" customWidth="1"/>
    <col min="5" max="5" width="20.1640625" bestFit="1" customWidth="1"/>
  </cols>
  <sheetData>
    <row r="6" spans="2:5" x14ac:dyDescent="0.35">
      <c r="B6" s="1" t="s">
        <v>86</v>
      </c>
      <c r="C6" s="1" t="s">
        <v>83</v>
      </c>
      <c r="D6" s="2" t="s">
        <v>84</v>
      </c>
      <c r="E6" s="2" t="s">
        <v>85</v>
      </c>
    </row>
    <row r="7" spans="2:5" x14ac:dyDescent="0.35">
      <c r="B7" s="1" t="s">
        <v>27</v>
      </c>
      <c r="C7" s="1">
        <v>7</v>
      </c>
      <c r="D7" s="1">
        <v>30</v>
      </c>
      <c r="E7" s="9">
        <v>800500</v>
      </c>
    </row>
    <row r="8" spans="2:5" x14ac:dyDescent="0.35">
      <c r="B8" s="1" t="s">
        <v>87</v>
      </c>
      <c r="C8" s="1">
        <v>3</v>
      </c>
      <c r="D8" s="1">
        <v>15</v>
      </c>
      <c r="E8" s="9">
        <v>150900</v>
      </c>
    </row>
    <row r="9" spans="2:5" x14ac:dyDescent="0.35">
      <c r="B9" s="1" t="s">
        <v>88</v>
      </c>
      <c r="C9" s="1">
        <v>1</v>
      </c>
      <c r="D9" s="1">
        <v>5</v>
      </c>
      <c r="E9" s="9">
        <v>100200</v>
      </c>
    </row>
    <row r="10" spans="2:5" x14ac:dyDescent="0.35">
      <c r="B10" s="1" t="s">
        <v>89</v>
      </c>
      <c r="C10" s="1">
        <v>2</v>
      </c>
      <c r="D10" s="1">
        <v>8</v>
      </c>
      <c r="E10" s="9">
        <v>13700</v>
      </c>
    </row>
    <row r="11" spans="2:5" x14ac:dyDescent="0.35">
      <c r="B11" s="1" t="s">
        <v>90</v>
      </c>
      <c r="C11" s="1">
        <v>5</v>
      </c>
      <c r="D11" s="1">
        <v>24</v>
      </c>
      <c r="E11" s="9">
        <v>600700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F189-6DBC-444A-A7E5-471B9C28D734}">
  <dimension ref="C5:I18"/>
  <sheetViews>
    <sheetView topLeftCell="A2" zoomScale="62" workbookViewId="0">
      <selection activeCell="I31" sqref="I31"/>
    </sheetView>
  </sheetViews>
  <sheetFormatPr defaultColWidth="10.6640625" defaultRowHeight="15.5" x14ac:dyDescent="0.35"/>
  <cols>
    <col min="4" max="4" width="13.83203125" bestFit="1" customWidth="1"/>
    <col min="5" max="5" width="14.5" bestFit="1" customWidth="1"/>
    <col min="8" max="8" width="11.83203125" bestFit="1" customWidth="1"/>
    <col min="9" max="9" width="14.33203125" bestFit="1" customWidth="1"/>
  </cols>
  <sheetData>
    <row r="5" spans="3:9" x14ac:dyDescent="0.35">
      <c r="C5" s="15" t="s">
        <v>91</v>
      </c>
      <c r="D5" s="15"/>
      <c r="E5" s="15"/>
      <c r="G5" s="16" t="s">
        <v>91</v>
      </c>
      <c r="H5" s="17"/>
      <c r="I5" s="18"/>
    </row>
    <row r="6" spans="3:9" x14ac:dyDescent="0.35">
      <c r="C6" s="1" t="s">
        <v>2</v>
      </c>
      <c r="D6" s="1" t="s">
        <v>19</v>
      </c>
      <c r="E6" s="1" t="s">
        <v>0</v>
      </c>
      <c r="G6" s="1" t="s">
        <v>7</v>
      </c>
      <c r="H6" s="1" t="s">
        <v>1</v>
      </c>
      <c r="I6" s="1" t="s">
        <v>0</v>
      </c>
    </row>
    <row r="7" spans="3:9" x14ac:dyDescent="0.35">
      <c r="C7" s="1" t="s">
        <v>3</v>
      </c>
      <c r="D7" s="2">
        <v>400000</v>
      </c>
      <c r="E7" s="2">
        <v>350000</v>
      </c>
      <c r="G7" s="1" t="s">
        <v>8</v>
      </c>
      <c r="H7" s="2">
        <v>400000</v>
      </c>
      <c r="I7" s="2">
        <v>350000</v>
      </c>
    </row>
    <row r="8" spans="3:9" x14ac:dyDescent="0.35">
      <c r="C8" s="1" t="s">
        <v>4</v>
      </c>
      <c r="D8" s="2">
        <v>500000</v>
      </c>
      <c r="E8" s="2">
        <v>600000</v>
      </c>
      <c r="G8" s="1" t="s">
        <v>68</v>
      </c>
      <c r="H8" s="2">
        <v>500000</v>
      </c>
      <c r="I8" s="2">
        <v>600000</v>
      </c>
    </row>
    <row r="9" spans="3:9" x14ac:dyDescent="0.35">
      <c r="C9" s="1" t="s">
        <v>5</v>
      </c>
      <c r="D9" s="2">
        <v>300000</v>
      </c>
      <c r="E9" s="2">
        <v>500000</v>
      </c>
      <c r="G9" s="1" t="s">
        <v>9</v>
      </c>
      <c r="H9" s="2">
        <v>300000</v>
      </c>
      <c r="I9" s="2">
        <v>500000</v>
      </c>
    </row>
    <row r="10" spans="3:9" x14ac:dyDescent="0.35">
      <c r="C10" s="1" t="s">
        <v>6</v>
      </c>
      <c r="D10" s="2">
        <v>600000</v>
      </c>
      <c r="E10" s="2">
        <v>700000</v>
      </c>
      <c r="G10" s="1" t="s">
        <v>10</v>
      </c>
      <c r="H10" s="2">
        <v>600000</v>
      </c>
      <c r="I10" s="2">
        <v>700000</v>
      </c>
    </row>
    <row r="11" spans="3:9" x14ac:dyDescent="0.35">
      <c r="G11" s="1" t="s">
        <v>11</v>
      </c>
      <c r="H11" s="2">
        <v>550000</v>
      </c>
      <c r="I11" s="2">
        <v>775000</v>
      </c>
    </row>
    <row r="12" spans="3:9" x14ac:dyDescent="0.35">
      <c r="G12" s="1" t="s">
        <v>12</v>
      </c>
      <c r="H12" s="2">
        <v>590000</v>
      </c>
      <c r="I12" s="2">
        <v>870000</v>
      </c>
    </row>
    <row r="13" spans="3:9" x14ac:dyDescent="0.35">
      <c r="G13" s="1" t="s">
        <v>13</v>
      </c>
      <c r="H13" s="2">
        <v>630000</v>
      </c>
      <c r="I13" s="2">
        <v>965000</v>
      </c>
    </row>
    <row r="14" spans="3:9" x14ac:dyDescent="0.35">
      <c r="G14" s="1" t="s">
        <v>14</v>
      </c>
      <c r="H14" s="2">
        <v>670000</v>
      </c>
      <c r="I14" s="2">
        <v>1060000</v>
      </c>
    </row>
    <row r="15" spans="3:9" x14ac:dyDescent="0.35">
      <c r="G15" s="1" t="s">
        <v>15</v>
      </c>
      <c r="H15" s="2">
        <v>710000</v>
      </c>
      <c r="I15" s="2">
        <v>1155000</v>
      </c>
    </row>
    <row r="16" spans="3:9" x14ac:dyDescent="0.35">
      <c r="G16" s="1" t="s">
        <v>16</v>
      </c>
      <c r="H16" s="2">
        <v>750000</v>
      </c>
      <c r="I16" s="2">
        <v>1250000</v>
      </c>
    </row>
    <row r="17" spans="7:9" x14ac:dyDescent="0.35">
      <c r="G17" s="1" t="s">
        <v>17</v>
      </c>
      <c r="H17" s="2">
        <v>790000</v>
      </c>
      <c r="I17" s="2">
        <v>1345000</v>
      </c>
    </row>
    <row r="18" spans="7:9" x14ac:dyDescent="0.35">
      <c r="G18" s="1" t="s">
        <v>18</v>
      </c>
      <c r="H18" s="2">
        <v>830000</v>
      </c>
      <c r="I18" s="2">
        <v>1440000</v>
      </c>
    </row>
  </sheetData>
  <mergeCells count="2">
    <mergeCell ref="C5:E5"/>
    <mergeCell ref="G5:I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83F82-31F4-FE4A-88CF-149E90DCA97E}">
  <dimension ref="B5:G82"/>
  <sheetViews>
    <sheetView zoomScale="44" workbookViewId="0">
      <selection activeCell="L43" sqref="L43:L44"/>
    </sheetView>
  </sheetViews>
  <sheetFormatPr defaultColWidth="10.6640625" defaultRowHeight="15.5" x14ac:dyDescent="0.35"/>
  <cols>
    <col min="2" max="2" width="14.83203125" bestFit="1" customWidth="1"/>
    <col min="3" max="3" width="14.5" bestFit="1" customWidth="1"/>
    <col min="4" max="4" width="13.25" bestFit="1" customWidth="1"/>
    <col min="7" max="7" width="12.75" bestFit="1" customWidth="1"/>
  </cols>
  <sheetData>
    <row r="5" spans="2:7" x14ac:dyDescent="0.35">
      <c r="B5" s="4" t="s">
        <v>7</v>
      </c>
      <c r="C5" s="4" t="s">
        <v>21</v>
      </c>
      <c r="E5" s="1" t="s">
        <v>7</v>
      </c>
      <c r="F5" s="1" t="s">
        <v>22</v>
      </c>
      <c r="G5" s="1" t="s">
        <v>23</v>
      </c>
    </row>
    <row r="6" spans="2:7" x14ac:dyDescent="0.35">
      <c r="B6" s="1" t="s">
        <v>8</v>
      </c>
      <c r="C6" s="1">
        <v>43567</v>
      </c>
      <c r="E6" s="1" t="s">
        <v>8</v>
      </c>
      <c r="F6" s="1">
        <v>20587</v>
      </c>
      <c r="G6" s="1">
        <v>20977</v>
      </c>
    </row>
    <row r="7" spans="2:7" x14ac:dyDescent="0.35">
      <c r="B7" s="1" t="s">
        <v>68</v>
      </c>
      <c r="C7" s="1">
        <v>56287</v>
      </c>
      <c r="E7" s="1" t="s">
        <v>68</v>
      </c>
      <c r="F7" s="1">
        <v>67986</v>
      </c>
      <c r="G7" s="1">
        <v>48098</v>
      </c>
    </row>
    <row r="8" spans="2:7" x14ac:dyDescent="0.35">
      <c r="B8" s="1" t="s">
        <v>9</v>
      </c>
      <c r="C8" s="1">
        <v>53765</v>
      </c>
      <c r="E8" s="1" t="s">
        <v>9</v>
      </c>
      <c r="F8" s="1">
        <v>37087</v>
      </c>
      <c r="G8" s="1">
        <v>16986</v>
      </c>
    </row>
    <row r="9" spans="2:7" x14ac:dyDescent="0.35">
      <c r="B9" s="1" t="s">
        <v>10</v>
      </c>
      <c r="C9" s="1">
        <v>67987</v>
      </c>
      <c r="E9" s="1" t="s">
        <v>10</v>
      </c>
      <c r="F9" s="1">
        <v>17907</v>
      </c>
      <c r="G9" s="1">
        <v>30976</v>
      </c>
    </row>
    <row r="10" spans="2:7" x14ac:dyDescent="0.35">
      <c r="B10" s="1" t="s">
        <v>20</v>
      </c>
      <c r="C10" s="1">
        <v>60365</v>
      </c>
      <c r="E10" s="1" t="s">
        <v>20</v>
      </c>
      <c r="F10" s="1">
        <v>28760</v>
      </c>
      <c r="G10" s="1">
        <v>39878</v>
      </c>
    </row>
    <row r="11" spans="2:7" x14ac:dyDescent="0.35">
      <c r="B11" s="1" t="s">
        <v>12</v>
      </c>
      <c r="C11" s="1">
        <v>80951</v>
      </c>
      <c r="E11" s="1" t="s">
        <v>12</v>
      </c>
      <c r="F11" s="1">
        <v>37508</v>
      </c>
      <c r="G11" s="1">
        <v>50873</v>
      </c>
    </row>
    <row r="12" spans="2:7" x14ac:dyDescent="0.35">
      <c r="B12" s="1" t="s">
        <v>13</v>
      </c>
      <c r="C12" s="1">
        <v>83462</v>
      </c>
      <c r="E12" s="1" t="s">
        <v>13</v>
      </c>
      <c r="F12" s="1">
        <v>60974</v>
      </c>
      <c r="G12" s="1">
        <v>37986</v>
      </c>
    </row>
    <row r="13" spans="2:7" x14ac:dyDescent="0.35">
      <c r="B13" s="1" t="s">
        <v>14</v>
      </c>
      <c r="C13" s="1">
        <v>100749</v>
      </c>
      <c r="E13" s="1" t="s">
        <v>14</v>
      </c>
      <c r="F13" s="1">
        <v>70973</v>
      </c>
      <c r="G13" s="1">
        <v>47292</v>
      </c>
    </row>
    <row r="14" spans="2:7" x14ac:dyDescent="0.35">
      <c r="B14" s="1" t="s">
        <v>15</v>
      </c>
      <c r="C14" s="1">
        <v>93562</v>
      </c>
      <c r="E14" s="1" t="s">
        <v>15</v>
      </c>
      <c r="F14" s="1">
        <v>97684</v>
      </c>
      <c r="G14" s="1">
        <v>79864</v>
      </c>
    </row>
    <row r="15" spans="2:7" x14ac:dyDescent="0.35">
      <c r="B15" s="1" t="s">
        <v>16</v>
      </c>
      <c r="C15" s="1">
        <v>103476</v>
      </c>
      <c r="E15" s="1" t="s">
        <v>16</v>
      </c>
      <c r="F15" s="1">
        <v>89579</v>
      </c>
      <c r="G15" s="1">
        <v>79875</v>
      </c>
    </row>
    <row r="16" spans="2:7" x14ac:dyDescent="0.35">
      <c r="B16" s="1" t="s">
        <v>17</v>
      </c>
      <c r="C16" s="1">
        <v>109846</v>
      </c>
      <c r="E16" s="1" t="s">
        <v>17</v>
      </c>
      <c r="F16" s="1">
        <v>87649</v>
      </c>
      <c r="G16" s="1">
        <v>87640</v>
      </c>
    </row>
    <row r="17" spans="2:7" x14ac:dyDescent="0.35">
      <c r="B17" s="1" t="s">
        <v>18</v>
      </c>
      <c r="C17" s="1">
        <v>120846</v>
      </c>
      <c r="E17" s="1" t="s">
        <v>18</v>
      </c>
      <c r="F17" s="1">
        <v>98976</v>
      </c>
      <c r="G17" s="1">
        <v>89768</v>
      </c>
    </row>
    <row r="82" spans="2:4" x14ac:dyDescent="0.35">
      <c r="B82" s="3"/>
      <c r="C82" s="3"/>
      <c r="D82" s="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9492-306A-6D47-BE52-97F666CEC926}">
  <dimension ref="B4:F12"/>
  <sheetViews>
    <sheetView zoomScale="77" zoomScaleNormal="58" workbookViewId="0">
      <selection activeCell="G17" sqref="G17"/>
    </sheetView>
  </sheetViews>
  <sheetFormatPr defaultColWidth="10.6640625" defaultRowHeight="15.5" x14ac:dyDescent="0.35"/>
  <cols>
    <col min="3" max="5" width="14.5" bestFit="1" customWidth="1"/>
    <col min="6" max="6" width="12.6640625" bestFit="1" customWidth="1"/>
  </cols>
  <sheetData>
    <row r="4" spans="2:6" x14ac:dyDescent="0.35">
      <c r="C4" s="19"/>
      <c r="D4" s="19"/>
      <c r="E4" s="19"/>
      <c r="F4" s="19"/>
    </row>
    <row r="5" spans="2:6" x14ac:dyDescent="0.35">
      <c r="B5" s="1" t="s">
        <v>86</v>
      </c>
      <c r="C5" s="1" t="s">
        <v>26</v>
      </c>
      <c r="D5" s="1" t="s">
        <v>24</v>
      </c>
      <c r="E5" s="1" t="s">
        <v>29</v>
      </c>
      <c r="F5" s="1" t="s">
        <v>25</v>
      </c>
    </row>
    <row r="6" spans="2:6" x14ac:dyDescent="0.35">
      <c r="B6" s="1" t="s">
        <v>27</v>
      </c>
      <c r="C6" s="1">
        <v>25</v>
      </c>
      <c r="D6" s="1">
        <v>60</v>
      </c>
      <c r="E6" s="1">
        <v>38</v>
      </c>
      <c r="F6" s="1">
        <f>SUM(C6:E6)</f>
        <v>123</v>
      </c>
    </row>
    <row r="7" spans="2:6" x14ac:dyDescent="0.35">
      <c r="B7" s="1" t="s">
        <v>28</v>
      </c>
      <c r="C7" s="1">
        <v>50</v>
      </c>
      <c r="D7" s="1">
        <v>80</v>
      </c>
      <c r="E7" s="1">
        <v>98</v>
      </c>
      <c r="F7" s="1">
        <f>SUM(C7:E7)</f>
        <v>228</v>
      </c>
    </row>
    <row r="10" spans="2:6" x14ac:dyDescent="0.35">
      <c r="B10" s="1" t="s">
        <v>86</v>
      </c>
      <c r="C10" s="1" t="s">
        <v>26</v>
      </c>
      <c r="D10" s="1" t="s">
        <v>24</v>
      </c>
      <c r="E10" s="1" t="s">
        <v>29</v>
      </c>
      <c r="F10" s="1" t="s">
        <v>25</v>
      </c>
    </row>
    <row r="11" spans="2:6" x14ac:dyDescent="0.35">
      <c r="B11" s="1" t="s">
        <v>27</v>
      </c>
      <c r="C11" s="7">
        <f>C6/F6</f>
        <v>0.2032520325203252</v>
      </c>
      <c r="D11" s="7">
        <f>D6/F6</f>
        <v>0.48780487804878048</v>
      </c>
      <c r="E11" s="7">
        <f>E6/F6</f>
        <v>0.30894308943089432</v>
      </c>
      <c r="F11" s="7">
        <f>SUM(C11:E11)</f>
        <v>1</v>
      </c>
    </row>
    <row r="12" spans="2:6" x14ac:dyDescent="0.35">
      <c r="B12" s="1" t="s">
        <v>28</v>
      </c>
      <c r="C12" s="7">
        <f>C7/F7</f>
        <v>0.21929824561403508</v>
      </c>
      <c r="D12" s="7">
        <f>D7/F7</f>
        <v>0.35087719298245612</v>
      </c>
      <c r="E12" s="7">
        <f>E7/F7</f>
        <v>0.42982456140350878</v>
      </c>
      <c r="F12" s="8">
        <f>SUM(C12:E12)</f>
        <v>1</v>
      </c>
    </row>
  </sheetData>
  <mergeCells count="1">
    <mergeCell ref="C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1358CDC026C9459F824185BF016379" ma:contentTypeVersion="15" ma:contentTypeDescription="Utwórz nowy dokument." ma:contentTypeScope="" ma:versionID="143d19408b07406c9b93283758526cff">
  <xsd:schema xmlns:xsd="http://www.w3.org/2001/XMLSchema" xmlns:xs="http://www.w3.org/2001/XMLSchema" xmlns:p="http://schemas.microsoft.com/office/2006/metadata/properties" xmlns:ns2="090bb304-0634-4271-8396-12d9eb9a8485" xmlns:ns3="7ed439fd-4250-4c27-92be-677108cf3e01" targetNamespace="http://schemas.microsoft.com/office/2006/metadata/properties" ma:root="true" ma:fieldsID="2f78de237e798a10f14eda5af692c76f" ns2:_="" ns3:_="">
    <xsd:import namespace="090bb304-0634-4271-8396-12d9eb9a8485"/>
    <xsd:import namespace="7ed439fd-4250-4c27-92be-677108cf3e0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0bb304-0634-4271-8396-12d9eb9a848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e6e50f7-8e72-46b8-8900-9cd34975879f}" ma:internalName="TaxCatchAll" ma:showField="CatchAllData" ma:web="090bb304-0634-4271-8396-12d9eb9a84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439fd-4250-4c27-92be-677108cf3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i obrazów" ma:readOnly="false" ma:fieldId="{5cf76f15-5ced-4ddc-b409-7134ff3c332f}" ma:taxonomyMulti="true" ma:sspId="d709728d-f333-413a-ae6b-8d9e51106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0bb304-0634-4271-8396-12d9eb9a8485" xsi:nil="true"/>
    <lcf76f155ced4ddcb4097134ff3c332f xmlns="7ed439fd-4250-4c27-92be-677108cf3e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AFEA85-BE91-43A8-BCA0-C12E58C570F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96FCF8A-B7AE-4754-B7E6-AE0391979F5A}"/>
</file>

<file path=customXml/itemProps3.xml><?xml version="1.0" encoding="utf-8"?>
<ds:datastoreItem xmlns:ds="http://schemas.openxmlformats.org/officeDocument/2006/customXml" ds:itemID="{3955B3D3-810A-46F0-A097-2C8CE9BE8165}"/>
</file>

<file path=customXml/itemProps4.xml><?xml version="1.0" encoding="utf-8"?>
<ds:datastoreItem xmlns:ds="http://schemas.openxmlformats.org/officeDocument/2006/customXml" ds:itemID="{B66DC37F-7F5A-4147-A02C-4113E87C06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Histogram</vt:lpstr>
      <vt:lpstr>Scatter plot</vt:lpstr>
      <vt:lpstr>Combo chart</vt:lpstr>
      <vt:lpstr>Pivot Chart</vt:lpstr>
      <vt:lpstr>Bubble chart</vt:lpstr>
      <vt:lpstr>Column chart</vt:lpstr>
      <vt:lpstr>Line chart</vt:lpstr>
      <vt:lpstr>Pie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nszul</cp:lastModifiedBy>
  <dcterms:created xsi:type="dcterms:W3CDTF">2023-01-06T13:12:56Z</dcterms:created>
  <dcterms:modified xsi:type="dcterms:W3CDTF">2023-01-12T07:46:10Z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0x0101001C1358CDC026C9459F824185BF016379</vt:lpwstr>
  </property>
</Properties>
</file>