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0372ada63d43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9fc8acc4161f42fa"/>
    <x:sheet xmlns:r="http://schemas.openxmlformats.org/officeDocument/2006/relationships" name="Statistics" sheetId="2" r:id="R899ed49a51654a20"/>
    <x:sheet xmlns:r="http://schemas.openxmlformats.org/officeDocument/2006/relationships" name="t critical" sheetId="3" r:id="R7a712e9aa7d142eb"/>
    <x:sheet xmlns:r="http://schemas.openxmlformats.org/officeDocument/2006/relationships" name="KPI" sheetId="4" r:id="Rc505647559f2418c"/>
    <x:sheet xmlns:r="http://schemas.openxmlformats.org/officeDocument/2006/relationships" name="Regression" sheetId="5" r:id="Rb6459ae5bd5c42bc"/>
    <x:sheet xmlns:r="http://schemas.openxmlformats.org/officeDocument/2006/relationships" name="ANOVA plan" sheetId="6" r:id="R6f74c69e73014708"/>
    <x:sheet xmlns:r="http://schemas.openxmlformats.org/officeDocument/2006/relationships" name="Alpha" sheetId="7" r:id="Rb9f13634f2374ac9"/>
    <x:sheet xmlns:r="http://schemas.openxmlformats.org/officeDocument/2006/relationships" name="Classification" sheetId="8" r:id="R6a51a80ecd5d49a9"/>
    <x:sheet xmlns:r="http://schemas.openxmlformats.org/officeDocument/2006/relationships" name="Scenarios" sheetId="9" r:id="R3cc23bb25dc34653"/>
    <x:sheet xmlns:r="http://schemas.openxmlformats.org/officeDocument/2006/relationships" name="Time value" sheetId="10" r:id="Rac94122efd334daf"/>
    <x:sheet xmlns:r="http://schemas.openxmlformats.org/officeDocument/2006/relationships" name="Quality log" sheetId="11" r:id="R5cae371a29214c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00000"/>
    <x:numFmt numFmtId="202" formatCode="0.000"/>
    <x:numFmt numFmtId="203" formatCode="0.0%"/>
  </x:numFmts>
  <x:fonts count="4">
    <x:font>
      <x:sz val="11"/>
      <x:name val="Carlito"/>
    </x:font>
    <x:font>
      <x:sz val="10"/>
      <x:color rgb="FF1C2937"/>
      <x:name val="Arial"/>
    </x:font>
    <x:font>
      <x:b/>
      <x:sz val="14"/>
      <x:color rgb="FF163354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354"/>
      </x:patternFill>
    </x:fill>
    <x:fill>
      <x:patternFill patternType="solid">
        <x:fgColor rgb="FFFFF0C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3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202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1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4c618f8be24f24" /><Relationship Type="http://schemas.openxmlformats.org/officeDocument/2006/relationships/theme" Target="/xl/theme/theme1.xml" Id="R7e5e41b194304829" /><Relationship Type="http://schemas.openxmlformats.org/officeDocument/2006/relationships/sharedStrings" Target="/xl/sharedStrings.xml" Id="Rb6097dddfd5246d4" /><Relationship Type="http://schemas.openxmlformats.org/officeDocument/2006/relationships/worksheet" Target="/xl/worksheets/sheet1.xml" Id="R9fc8acc4161f42fa" /><Relationship Type="http://schemas.openxmlformats.org/officeDocument/2006/relationships/worksheet" Target="/xl/worksheets/sheet2.xml" Id="R899ed49a51654a20" /><Relationship Type="http://schemas.openxmlformats.org/officeDocument/2006/relationships/worksheet" Target="/xl/worksheets/sheet3.xml" Id="R7a712e9aa7d142eb" /><Relationship Type="http://schemas.openxmlformats.org/officeDocument/2006/relationships/worksheet" Target="/xl/worksheets/sheet4.xml" Id="Rc505647559f2418c" /><Relationship Type="http://schemas.openxmlformats.org/officeDocument/2006/relationships/worksheet" Target="/xl/worksheets/sheet5.xml" Id="Rb6459ae5bd5c42bc" /><Relationship Type="http://schemas.openxmlformats.org/officeDocument/2006/relationships/worksheet" Target="/xl/worksheets/sheet6.xml" Id="R6f74c69e73014708" /><Relationship Type="http://schemas.openxmlformats.org/officeDocument/2006/relationships/worksheet" Target="/xl/worksheets/sheet7.xml" Id="Rb9f13634f2374ac9" /><Relationship Type="http://schemas.openxmlformats.org/officeDocument/2006/relationships/worksheet" Target="/xl/worksheets/sheet8.xml" Id="R6a51a80ecd5d49a9" /><Relationship Type="http://schemas.openxmlformats.org/officeDocument/2006/relationships/worksheet" Target="/xl/worksheets/sheet9.xml" Id="R3cc23bb25dc34653" /><Relationship Type="http://schemas.openxmlformats.org/officeDocument/2006/relationships/worksheet" Target="/xl/worksheets/sheet10.xml" Id="Rac94122efd334daf" /><Relationship Type="http://schemas.openxmlformats.org/officeDocument/2006/relationships/worksheet" Target="/xl/worksheets/sheet11.xml" Id="R5cae371a29214c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EVO — calculation templates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30" customHeight="1">
      <x:c r="A5" s="5" t="str">
        <x:v>Sheet</x:v>
      </x:c>
      <x:c r="B5" s="5" t="str">
        <x:v>Purpose</x:v>
      </x:c>
      <x:c r="C5" s="5" t="str">
        <x:v>Input</x:v>
      </x:c>
      <x:c r="D5" s="1"/>
      <x:c r="E5" s="1"/>
      <x:c r="F5" s="1"/>
      <x:c r="G5" s="1"/>
      <x:c r="H5" s="1"/>
    </x:row>
    <x:row r="6" ht="38" customHeight="1">
      <x:c r="A6" s="6" t="str">
        <x:v>Statistics</x:v>
      </x:c>
      <x:c r="B6" s="6" t="str">
        <x:v>Mean, spread and t interval</x:v>
      </x:c>
      <x:c r="C6" s="6" t="str">
        <x:v>Up to 40 numeric values</x:v>
      </x:c>
      <x:c r="D6" s="1"/>
      <x:c r="E6" s="1"/>
      <x:c r="F6" s="1"/>
      <x:c r="G6" s="1"/>
      <x:c r="H6" s="1"/>
    </x:row>
    <x:row r="7" ht="38" customHeight="1">
      <x:c r="A7" s="6" t="str">
        <x:v>KPI</x:v>
      </x:c>
      <x:c r="B7" s="6" t="str">
        <x:v>Revenue, profit, margin, ROI, CAC</x:v>
      </x:c>
      <x:c r="C7" s="6" t="str">
        <x:v>Comparable period and currency</x:v>
      </x:c>
      <x:c r="D7" s="1"/>
      <x:c r="E7" s="1"/>
      <x:c r="F7" s="1"/>
      <x:c r="G7" s="1"/>
      <x:c r="H7" s="1"/>
    </x:row>
    <x:row r="8" ht="38" customHeight="1">
      <x:c r="A8" s="6" t="str">
        <x:v>Regression</x:v>
      </x:c>
      <x:c r="B8" s="6" t="str">
        <x:v>Simple regression / paired data</x:v>
      </x:c>
      <x:c r="C8" s="6" t="str">
        <x:v>20 complete X/Y pairs</x:v>
      </x:c>
      <x:c r="D8" s="1"/>
      <x:c r="E8" s="1"/>
      <x:c r="F8" s="1"/>
      <x:c r="G8" s="1"/>
      <x:c r="H8" s="1"/>
    </x:row>
    <x:row r="9" ht="38" customHeight="1">
      <x:c r="A9" s="6" t="str">
        <x:v>ANOVA plan</x:v>
      </x:c>
      <x:c r="B9" s="6" t="str">
        <x:v>Set up a one-way ANOVA</x:v>
      </x:c>
      <x:c r="C9" s="6" t="str">
        <x:v>Group and numeric outcome</x:v>
      </x:c>
      <x:c r="D9" s="1"/>
      <x:c r="E9" s="1"/>
      <x:c r="F9" s="1"/>
      <x:c r="G9" s="1"/>
      <x:c r="H9" s="1"/>
    </x:row>
    <x:row r="10" ht="38" customHeight="1">
      <x:c r="A10" s="6" t="str">
        <x:v>Alpha</x:v>
      </x:c>
      <x:c r="B10" s="6" t="str">
        <x:v>Cronbach alpha for 3 items</x:v>
      </x:c>
      <x:c r="C10" s="6" t="str">
        <x:v>20 complete respondent rows</x:v>
      </x:c>
      <x:c r="D10" s="1"/>
      <x:c r="E10" s="1"/>
      <x:c r="F10" s="1"/>
      <x:c r="G10" s="1"/>
      <x:c r="H10" s="1"/>
    </x:row>
    <x:row r="11" ht="38" customHeight="1">
      <x:c r="A11" s="6" t="str">
        <x:v>Classification</x:v>
      </x:c>
      <x:c r="B11" s="6" t="str">
        <x:v>Confusion matrix and metrics</x:v>
      </x:c>
      <x:c r="C11" s="6" t="str">
        <x:v>TP, FP, FN, TN counts</x:v>
      </x:c>
      <x:c r="D11" s="1"/>
      <x:c r="E11" s="1"/>
      <x:c r="F11" s="1"/>
      <x:c r="G11" s="1"/>
      <x:c r="H11" s="1"/>
    </x:row>
    <x:row r="12" ht="38" customHeight="1">
      <x:c r="A12" s="6" t="str">
        <x:v>Scenarios</x:v>
      </x:c>
      <x:c r="B12" s="6" t="str">
        <x:v>Conditional revenue scenarios</x:v>
      </x:c>
      <x:c r="C12" s="6" t="str">
        <x:v>Volume, price and explicit change</x:v>
      </x:c>
      <x:c r="D12" s="1"/>
      <x:c r="E12" s="1"/>
      <x:c r="F12" s="1"/>
      <x:c r="G12" s="1"/>
      <x:c r="H12" s="1"/>
    </x:row>
    <x:row r="13" ht="38" customHeight="1">
      <x:c r="A13" s="6" t="str">
        <x:v>Time value</x:v>
      </x:c>
      <x:c r="B13" s="6" t="str">
        <x:v>FV, PV and 12-period NPV</x:v>
      </x:c>
      <x:c r="C13" s="6" t="str">
        <x:v>Rate/periods and cash flows</x:v>
      </x:c>
      <x:c r="D13" s="1"/>
      <x:c r="E13" s="1"/>
      <x:c r="F13" s="1"/>
      <x:c r="G13" s="1"/>
      <x:c r="H13" s="1"/>
    </x:row>
    <x:row r="14" ht="38" customHeight="1">
      <x:c r="A14" s="6" t="str">
        <x:v>Quality log</x:v>
      </x:c>
      <x:c r="B14" s="6" t="str">
        <x:v>Document corrections</x:v>
      </x:c>
      <x:c r="C14" s="6" t="str">
        <x:v>Field, rule and before/after</x:v>
      </x:c>
      <x:c r="D14" s="1"/>
      <x:c r="E14" s="1"/>
      <x:c r="F14" s="1"/>
      <x:c r="G14" s="1"/>
      <x:c r="H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</x:row>
    <x:row r="17" ht="40" customHeight="1">
      <x:c r="A17" s="6" t="str">
        <x:v>Amber = editable input. Blank results mean insufficient input; a genuine numeric zero is retained. These templates do not contain Noroff solution data.</x:v>
      </x:c>
      <x:c r="B17" s="6"/>
      <x:c r="C17" s="6"/>
      <x:c r="D17" s="6"/>
      <x:c r="E17" s="6"/>
      <x:c r="F17" s="6"/>
      <x:c r="G17" s="6"/>
      <x:c r="H17" s="6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</x:row>
    <x:row r="19" ht="40" customHeight="1">
      <x:c r="A19" s="6" t="str">
        <x:v>English Excel formulas are stored in the file. Local Excel may display translated names/separators. Paste more than the reserved rows only after extending formula ranges.</x:v>
      </x:c>
      <x:c r="B19" s="6"/>
      <x:c r="C19" s="6"/>
      <x:c r="D19" s="6"/>
      <x:c r="E19" s="6"/>
      <x:c r="F19" s="6"/>
      <x:c r="G19" s="6"/>
      <x:c r="H19" s="6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</x:row>
    <x:row r="21" ht="40" customHeight="1">
      <x:c r="A21" s="6" t="str">
        <x:v>Course: FI1BBEO10. Sources and task identifiers were checked on 2026-10-13. Follow the original task for required P/S variance and aggregations.</x:v>
      </x:c>
      <x:c r="B21" s="6"/>
      <x:c r="C21" s="6"/>
      <x:c r="D21" s="6"/>
      <x:c r="E21" s="6"/>
      <x:c r="F21" s="6"/>
      <x:c r="G21" s="6"/>
      <x:c r="H21" s="6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A17:H17"/>
    <x:mergeCell ref="A19:H19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27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Descriptive statistics and a mean interval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22" customHeight="1">
      <x:c r="A5" s="1"/>
      <x:c r="B5" s="1"/>
      <x:c r="C5" s="1"/>
      <x:c r="D5" s="1"/>
      <x:c r="E5" s="1"/>
      <x:c r="F5" s="1"/>
      <x:c r="G5" s="1"/>
      <x:c r="H5" s="1"/>
    </x:row>
    <x:row r="6" ht="30" customHeight="1">
      <x:c r="A6" s="5" t="str">
        <x:v>Observation</x:v>
      </x:c>
      <x:c r="B6" s="5" t="str">
        <x:v>Numeric value</x:v>
      </x:c>
      <x:c r="C6" s="1"/>
      <x:c r="D6" s="5" t="str">
        <x:v>Metric</x:v>
      </x:c>
      <x:c r="E6" s="5" t="str">
        <x:v>Calculated</x:v>
      </x:c>
      <x:c r="F6" s="1"/>
      <x:c r="G6" s="1"/>
      <x:c r="H6" s="1"/>
    </x:row>
    <x:row r="7" ht="22" customHeight="1">
      <x:c r="A7" s="1" t="n">
        <x:v>1</x:v>
      </x:c>
      <x:c r="B7" s="11"/>
      <x:c r="C7" s="1"/>
      <x:c r="D7" s="1" t="str">
        <x:v>n</x:v>
      </x:c>
      <x:c r="E7" s="13" t="n">
        <x:f>COUNT(B7:B46)</x:f>
        <x:v>0</x:v>
      </x:c>
      <x:c r="F7" s="1"/>
      <x:c r="G7" s="1"/>
      <x:c r="H7" s="1"/>
    </x:row>
    <x:row r="8" ht="22" customHeight="1">
      <x:c r="A8" s="1" t="n">
        <x:v>2</x:v>
      </x:c>
      <x:c r="B8" s="11"/>
      <x:c r="C8" s="1"/>
      <x:c r="D8" s="1" t="str">
        <x:v>Mean</x:v>
      </x:c>
      <x:c r="E8" s="13" t="str">
        <x:f>IF(E7&lt;1,"",AVERAGE(B7:B46))</x:f>
      </x:c>
      <x:c r="F8" s="1"/>
      <x:c r="G8" s="1"/>
      <x:c r="H8" s="1"/>
    </x:row>
    <x:row r="9" ht="22" customHeight="1">
      <x:c r="A9" s="1" t="n">
        <x:v>3</x:v>
      </x:c>
      <x:c r="B9" s="11"/>
      <x:c r="C9" s="1"/>
      <x:c r="D9" s="1" t="str">
        <x:v>Median</x:v>
      </x:c>
      <x:c r="E9" s="13" t="str">
        <x:f>IF(E7&lt;1,"",MEDIAN(B7:B46))</x:f>
      </x:c>
      <x:c r="F9" s="1"/>
      <x:c r="G9" s="1"/>
      <x:c r="H9" s="1"/>
    </x:row>
    <x:row r="10" ht="22" customHeight="1">
      <x:c r="A10" s="1" t="n">
        <x:v>4</x:v>
      </x:c>
      <x:c r="B10" s="11"/>
      <x:c r="C10" s="1"/>
      <x:c r="D10" s="1" t="str">
        <x:v>VAR.P</x:v>
      </x:c>
      <x:c r="E10" s="13" t="str">
        <x:f>IF(E7&lt;1,"",_xlfn.VAR.P(B7:B46))</x:f>
      </x:c>
      <x:c r="F10" s="1"/>
      <x:c r="G10" s="1"/>
      <x:c r="H10" s="1"/>
    </x:row>
    <x:row r="11" ht="22" customHeight="1">
      <x:c r="A11" s="1" t="n">
        <x:v>5</x:v>
      </x:c>
      <x:c r="B11" s="11"/>
      <x:c r="C11" s="1"/>
      <x:c r="D11" s="1" t="str">
        <x:v>VAR.S</x:v>
      </x:c>
      <x:c r="E11" s="13" t="str">
        <x:f>IF(E7&lt;2,"",_xlfn.VAR.S(B7:B46))</x:f>
      </x:c>
      <x:c r="F11" s="1"/>
      <x:c r="G11" s="1"/>
      <x:c r="H11" s="1"/>
    </x:row>
    <x:row r="12" ht="22" customHeight="1">
      <x:c r="A12" s="1" t="n">
        <x:v>6</x:v>
      </x:c>
      <x:c r="B12" s="11"/>
      <x:c r="C12" s="1"/>
      <x:c r="D12" s="1" t="str">
        <x:v>STDEV.P</x:v>
      </x:c>
      <x:c r="E12" s="13" t="str">
        <x:f>IF(E7&lt;1,"",_xlfn.STDEV.P(B7:B46))</x:f>
      </x:c>
      <x:c r="F12" s="1"/>
      <x:c r="G12" s="1"/>
      <x:c r="H12" s="1"/>
    </x:row>
    <x:row r="13" ht="22" customHeight="1">
      <x:c r="A13" s="1" t="n">
        <x:v>7</x:v>
      </x:c>
      <x:c r="B13" s="11"/>
      <x:c r="C13" s="1"/>
      <x:c r="D13" s="1" t="str">
        <x:v>STDEV.S</x:v>
      </x:c>
      <x:c r="E13" s="13" t="str">
        <x:f>IF(E7&lt;2,"",_xlfn.STDEV.S(B7:B46))</x:f>
      </x:c>
      <x:c r="F13" s="1"/>
      <x:c r="G13" s="1"/>
      <x:c r="H13" s="1"/>
    </x:row>
    <x:row r="14" ht="22" customHeight="1">
      <x:c r="A14" s="1" t="n">
        <x:v>8</x:v>
      </x:c>
      <x:c r="B14" s="11"/>
      <x:c r="C14" s="1"/>
      <x:c r="D14" s="1" t="str">
        <x:v>Standard error</x:v>
      </x:c>
      <x:c r="E14" s="13" t="str">
        <x:f>IF(E7&lt;2,"",E13/SQRT(E7))</x:f>
      </x:c>
      <x:c r="F14" s="1"/>
      <x:c r="G14" s="1"/>
      <x:c r="H14" s="1"/>
    </x:row>
    <x:row r="15" ht="22" customHeight="1">
      <x:c r="A15" s="1" t="n">
        <x:v>9</x:v>
      </x:c>
      <x:c r="B15" s="11"/>
      <x:c r="C15" s="1"/>
      <x:c r="D15" s="1" t="str">
        <x:v>t critical</x:v>
      </x:c>
      <x:c r="E15" s="13" t="str">
        <x:f>IF(OR(E7&lt;2,E7&gt;40,AND(E18&lt;&gt;0.9,E18&lt;&gt;0.95,E18&lt;&gt;0.99)),"",INDEX('t critical'!$B$7:$D$45,E7-1,MATCH(E18,'t critical'!$B$6:$D$6,0)))</x:f>
      </x:c>
      <x:c r="F15" s="1"/>
      <x:c r="G15" s="1"/>
      <x:c r="H15" s="1"/>
    </x:row>
    <x:row r="16" ht="22" customHeight="1">
      <x:c r="A16" s="1" t="n">
        <x:v>10</x:v>
      </x:c>
      <x:c r="B16" s="11"/>
      <x:c r="C16" s="1"/>
      <x:c r="D16" s="1" t="str">
        <x:v>CI lower</x:v>
      </x:c>
      <x:c r="E16" s="13" t="str">
        <x:f>IF(OR(E14="",E15=""),"",E8-E15*E14)</x:f>
      </x:c>
      <x:c r="F16" s="1"/>
      <x:c r="G16" s="1"/>
      <x:c r="H16" s="1"/>
    </x:row>
    <x:row r="17" ht="22" customHeight="1">
      <x:c r="A17" s="1" t="n">
        <x:v>11</x:v>
      </x:c>
      <x:c r="B17" s="11"/>
      <x:c r="C17" s="1"/>
      <x:c r="D17" s="1" t="str">
        <x:v>CI upper</x:v>
      </x:c>
      <x:c r="E17" s="13" t="str">
        <x:f>IF(OR(E14="",E15=""),"",E8+E15*E14)</x:f>
      </x:c>
      <x:c r="F17" s="1"/>
      <x:c r="G17" s="1"/>
      <x:c r="H17" s="1"/>
    </x:row>
    <x:row r="18" ht="22" customHeight="1">
      <x:c r="A18" s="1" t="n">
        <x:v>12</x:v>
      </x:c>
      <x:c r="B18" s="11"/>
      <x:c r="C18" s="1"/>
      <x:c r="D18" s="1" t="str">
        <x:v>Confidence</x:v>
      </x:c>
      <x:c r="E18" s="14" t="n">
        <x:v>0.95</x:v>
      </x:c>
      <x:c r="F18" s="1"/>
      <x:c r="G18" s="1"/>
      <x:c r="H18" s="1"/>
    </x:row>
    <x:row r="19" ht="22" customHeight="1">
      <x:c r="A19" s="1" t="n">
        <x:v>13</x:v>
      </x:c>
      <x:c r="B19" s="11"/>
      <x:c r="C19" s="1"/>
      <x:c r="D19" s="1" t="str">
        <x:v>Q1 (inclusive)</x:v>
      </x:c>
      <x:c r="E19" s="13" t="str">
        <x:f>IF(E7=0,"",QUARTILE(B7:B46,1))</x:f>
      </x:c>
      <x:c r="F19" s="1"/>
      <x:c r="G19" s="1"/>
      <x:c r="H19" s="1"/>
    </x:row>
    <x:row r="20" ht="22" customHeight="1">
      <x:c r="A20" s="1" t="n">
        <x:v>14</x:v>
      </x:c>
      <x:c r="B20" s="11"/>
      <x:c r="C20" s="1"/>
      <x:c r="D20" s="1" t="str">
        <x:v>Q3 (inclusive)</x:v>
      </x:c>
      <x:c r="E20" s="13" t="str">
        <x:f>IF(E7=0,"",QUARTILE(B7:B46,3))</x:f>
      </x:c>
      <x:c r="F20" s="1"/>
      <x:c r="G20" s="1"/>
      <x:c r="H20" s="1"/>
    </x:row>
    <x:row r="21" ht="22" customHeight="1">
      <x:c r="A21" s="1" t="n">
        <x:v>15</x:v>
      </x:c>
      <x:c r="B21" s="11"/>
      <x:c r="C21" s="1"/>
      <x:c r="D21" s="1" t="str">
        <x:v>IQR</x:v>
      </x:c>
      <x:c r="E21" s="13" t="str">
        <x:f>IF(E7=0,"",E20-E19)</x:f>
      </x:c>
      <x:c r="F21" s="1"/>
      <x:c r="G21" s="1"/>
      <x:c r="H21" s="1"/>
    </x:row>
    <x:row r="22" ht="22" customHeight="1">
      <x:c r="A22" s="1" t="n">
        <x:v>16</x:v>
      </x:c>
      <x:c r="B22" s="11"/>
      <x:c r="C22" s="1"/>
      <x:c r="D22" s="1" t="str">
        <x:v>Lower IQR fence</x:v>
      </x:c>
      <x:c r="E22" s="13" t="str">
        <x:f>IF(E21="","",E19-1.5*E21)</x:f>
      </x:c>
      <x:c r="F22" s="1"/>
      <x:c r="G22" s="1"/>
      <x:c r="H22" s="1"/>
    </x:row>
    <x:row r="23" ht="22" customHeight="1">
      <x:c r="A23" s="1" t="n">
        <x:v>17</x:v>
      </x:c>
      <x:c r="B23" s="11"/>
      <x:c r="C23" s="1"/>
      <x:c r="D23" s="1" t="str">
        <x:v>Upper IQR fence</x:v>
      </x:c>
      <x:c r="E23" s="13" t="str">
        <x:f>IF(E21="","",E20+1.5*E21)</x:f>
      </x:c>
      <x:c r="F23" s="1"/>
      <x:c r="G23" s="1"/>
      <x:c r="H23" s="1"/>
    </x:row>
    <x:row r="24" ht="22" customHeight="1">
      <x:c r="A24" s="1" t="n">
        <x:v>18</x:v>
      </x:c>
      <x:c r="B24" s="11"/>
      <x:c r="C24" s="1"/>
      <x:c r="D24" s="1" t="str">
        <x:v>Sample skewness</x:v>
      </x:c>
      <x:c r="E24" s="13" t="str">
        <x:f>IF(E7&lt;3,"",IF(E13=0,"",SKEW(B7:B46)))</x:f>
      </x:c>
      <x:c r="F24" s="1"/>
      <x:c r="G24" s="1"/>
      <x:c r="H24" s="1"/>
    </x:row>
    <x:row r="25" ht="22" customHeight="1">
      <x:c r="A25" s="1" t="n">
        <x:v>19</x:v>
      </x:c>
      <x:c r="B25" s="11"/>
      <x:c r="C25" s="1"/>
      <x:c r="D25" s="1" t="str">
        <x:v>Sample excess kurtosis</x:v>
      </x:c>
      <x:c r="E25" s="13" t="str">
        <x:f>IF(E7&lt;4,"",IF(E13=0,"",KURT(B7:B46)))</x:f>
      </x:c>
      <x:c r="F25" s="1"/>
      <x:c r="G25" s="1"/>
      <x:c r="H25" s="1"/>
    </x:row>
    <x:row r="26" ht="22" customHeight="1">
      <x:c r="A26" s="1" t="n">
        <x:v>20</x:v>
      </x:c>
      <x:c r="B26" s="11"/>
      <x:c r="C26" s="1"/>
      <x:c r="D26" s="1"/>
      <x:c r="E26" s="1"/>
      <x:c r="F26" s="1"/>
      <x:c r="G26" s="1"/>
      <x:c r="H26" s="1"/>
    </x:row>
    <x:row r="27" ht="22" customHeight="1">
      <x:c r="A27" s="1" t="n">
        <x:v>21</x:v>
      </x:c>
      <x:c r="B27" s="11"/>
      <x:c r="C27" s="1"/>
      <x:c r="D27" s="1"/>
      <x:c r="E27" s="1"/>
      <x:c r="F27" s="1"/>
      <x:c r="G27" s="1"/>
      <x:c r="H27" s="1"/>
    </x:row>
    <x:row r="28" ht="22" customHeight="1">
      <x:c r="A28" s="1" t="n">
        <x:v>22</x:v>
      </x:c>
      <x:c r="B28" s="11"/>
      <x:c r="C28" s="1"/>
      <x:c r="D28" s="1"/>
      <x:c r="E28" s="1"/>
      <x:c r="F28" s="1"/>
      <x:c r="G28" s="1"/>
      <x:c r="H28" s="1"/>
    </x:row>
    <x:row r="29" ht="22" customHeight="1">
      <x:c r="A29" s="1" t="n">
        <x:v>23</x:v>
      </x:c>
      <x:c r="B29" s="11"/>
      <x:c r="C29" s="1"/>
      <x:c r="D29" s="1"/>
      <x:c r="E29" s="1"/>
      <x:c r="F29" s="1"/>
      <x:c r="G29" s="1"/>
      <x:c r="H29" s="1"/>
    </x:row>
    <x:row r="30" ht="22" customHeight="1">
      <x:c r="A30" s="1" t="n">
        <x:v>24</x:v>
      </x:c>
      <x:c r="B30" s="11"/>
      <x:c r="C30" s="1"/>
      <x:c r="D30" s="1"/>
      <x:c r="E30" s="1"/>
      <x:c r="F30" s="1"/>
      <x:c r="G30" s="1"/>
      <x:c r="H30" s="1"/>
    </x:row>
    <x:row r="31" ht="22" customHeight="1">
      <x:c r="A31" s="1" t="n">
        <x:v>25</x:v>
      </x:c>
      <x:c r="B31" s="11"/>
      <x:c r="C31" s="1"/>
      <x:c r="D31" s="1"/>
      <x:c r="E31" s="1"/>
      <x:c r="F31" s="1"/>
      <x:c r="G31" s="1"/>
      <x:c r="H31" s="1"/>
    </x:row>
    <x:row r="32" ht="22" customHeight="1">
      <x:c r="A32" s="1" t="n">
        <x:v>26</x:v>
      </x:c>
      <x:c r="B32" s="11"/>
      <x:c r="C32" s="1"/>
      <x:c r="D32" s="1"/>
      <x:c r="E32" s="1"/>
      <x:c r="F32" s="1"/>
      <x:c r="G32" s="1"/>
      <x:c r="H32" s="1"/>
    </x:row>
    <x:row r="33" ht="22" customHeight="1">
      <x:c r="A33" s="1" t="n">
        <x:v>27</x:v>
      </x:c>
      <x:c r="B33" s="11"/>
      <x:c r="C33" s="1"/>
      <x:c r="D33" s="1"/>
      <x:c r="E33" s="1"/>
      <x:c r="F33" s="1"/>
      <x:c r="G33" s="1"/>
      <x:c r="H33" s="1"/>
    </x:row>
    <x:row r="34" ht="22" customHeight="1">
      <x:c r="A34" s="1" t="n">
        <x:v>28</x:v>
      </x:c>
      <x:c r="B34" s="11"/>
      <x:c r="C34" s="1"/>
      <x:c r="D34" s="1"/>
      <x:c r="E34" s="1"/>
      <x:c r="F34" s="1"/>
      <x:c r="G34" s="1"/>
      <x:c r="H34" s="1"/>
    </x:row>
    <x:row r="35" ht="22" customHeight="1">
      <x:c r="A35" s="1" t="n">
        <x:v>29</x:v>
      </x:c>
      <x:c r="B35" s="11"/>
      <x:c r="C35" s="1"/>
      <x:c r="D35" s="1"/>
      <x:c r="E35" s="1"/>
      <x:c r="F35" s="1"/>
      <x:c r="G35" s="1"/>
      <x:c r="H35" s="1"/>
    </x:row>
    <x:row r="36">
      <x:c r="A36" t="n">
        <x:v>30</x:v>
      </x:c>
      <x:c r="B36" s="12"/>
    </x:row>
    <x:row r="37">
      <x:c r="A37" t="n">
        <x:v>31</x:v>
      </x:c>
      <x:c r="B37" s="12"/>
    </x:row>
    <x:row r="38">
      <x:c r="A38" t="n">
        <x:v>32</x:v>
      </x:c>
      <x:c r="B38" s="12"/>
    </x:row>
    <x:row r="39">
      <x:c r="A39" t="n">
        <x:v>33</x:v>
      </x:c>
      <x:c r="B39" s="12"/>
    </x:row>
    <x:row r="40">
      <x:c r="A40" t="n">
        <x:v>34</x:v>
      </x:c>
      <x:c r="B40" s="12"/>
    </x:row>
    <x:row r="41">
      <x:c r="A41" t="n">
        <x:v>35</x:v>
      </x:c>
      <x:c r="B41" s="12"/>
    </x:row>
    <x:row r="42">
      <x:c r="A42" t="n">
        <x:v>36</x:v>
      </x:c>
      <x:c r="B42" s="12"/>
    </x:row>
    <x:row r="43">
      <x:c r="A43" t="n">
        <x:v>37</x:v>
      </x:c>
      <x:c r="B43" s="12"/>
    </x:row>
    <x:row r="44">
      <x:c r="A44" t="n">
        <x:v>38</x:v>
      </x:c>
      <x:c r="B44" s="12"/>
    </x:row>
    <x:row r="45">
      <x:c r="A45" t="n">
        <x:v>39</x:v>
      </x:c>
      <x:c r="B45" s="12"/>
    </x:row>
    <x:row r="46">
      <x:c r="A46" t="n">
        <x:v>40</x:v>
      </x:c>
      <x:c r="B46" s="12"/>
    </x:row>
    <x:row r="49" ht="40" customHeight="1">
      <x:c r="A49" s="10" t="str">
        <x:v>CI: mean of an independent random sample, using sample SD and t distribution. Sampling bias/dependence is not corrected by this interval. IQR fences flag values for investigation.</x:v>
      </x:c>
      <x:c r="B49" s="10"/>
      <x:c r="C49" s="10"/>
      <x:c r="D49" s="10"/>
      <x:c r="E49" s="10"/>
      <x:c r="F49" s="10"/>
      <x:c r="G49" s="10"/>
      <x:c r="H49" s="10"/>
    </x:row>
    <x:row r="51" ht="40" customHeight="1">
      <x:c r="A51" s="10" t="str">
        <x:v>Sources: Microsoft T.INV.2T documentation; Noroff lessons 1.3, 3.1 and 4.1. Population variance divides by n; sample variance divides by n−1. KURT reports excess kurtosis.</x:v>
      </x:c>
      <x:c r="B51" s="10"/>
      <x:c r="C51" s="10"/>
      <x:c r="D51" s="10"/>
      <x:c r="E51" s="10"/>
      <x:c r="F51" s="10"/>
      <x:c r="G51" s="10"/>
      <x:c r="H51" s="10"/>
    </x:row>
  </x:sheetData>
  <x:mergeCells>
    <x:mergeCell ref="A49:H49"/>
    <x:mergeCell ref="A51:H51"/>
  </x:mergeCells>
  <x:dataValidations count="1">
    <x:dataValidation type="list" sqref="E18">
      <x:formula1>"0.90,0.95,0.99"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Student t critical values — two-sided intervals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22" customHeight="1">
      <x:c r="A5" s="1"/>
      <x:c r="B5" s="1"/>
      <x:c r="C5" s="1"/>
      <x:c r="D5" s="1"/>
      <x:c r="E5" s="1"/>
      <x:c r="F5" s="1"/>
      <x:c r="G5" s="1"/>
      <x:c r="H5" s="1"/>
    </x:row>
    <x:row r="6" ht="30" customHeight="1">
      <x:c r="A6" s="5" t="str">
        <x:v>df</x:v>
      </x:c>
      <x:c r="B6" s="7" t="n">
        <x:v>0.9</x:v>
      </x:c>
      <x:c r="C6" s="7" t="n">
        <x:v>0.95</x:v>
      </x:c>
      <x:c r="D6" s="7" t="n">
        <x:v>0.99</x:v>
      </x:c>
      <x:c r="E6" s="1"/>
      <x:c r="F6" s="1"/>
      <x:c r="G6" s="1"/>
      <x:c r="H6" s="1"/>
    </x:row>
    <x:row r="7" ht="22" customHeight="1">
      <x:c r="A7" s="1" t="n">
        <x:v>1</x:v>
      </x:c>
      <x:c r="B7" s="8" t="n">
        <x:v>6.313751514675037</x:v>
      </x:c>
      <x:c r="C7" s="8" t="n">
        <x:v>12.706204736174694</x:v>
      </x:c>
      <x:c r="D7" s="8" t="n">
        <x:v>63.656741162871526</x:v>
      </x:c>
      <x:c r="E7" s="1"/>
      <x:c r="F7" s="1"/>
      <x:c r="G7" s="1"/>
      <x:c r="H7" s="1"/>
    </x:row>
    <x:row r="8" ht="22" customHeight="1">
      <x:c r="A8" s="1" t="n">
        <x:v>2</x:v>
      </x:c>
      <x:c r="B8" s="8" t="n">
        <x:v>2.9199855803537242</x:v>
      </x:c>
      <x:c r="C8" s="8" t="n">
        <x:v>4.302652729749462</x:v>
      </x:c>
      <x:c r="D8" s="8" t="n">
        <x:v>9.924843200918287</x:v>
      </x:c>
      <x:c r="E8" s="1"/>
      <x:c r="F8" s="1"/>
      <x:c r="G8" s="1"/>
      <x:c r="H8" s="1"/>
    </x:row>
    <x:row r="9" ht="22" customHeight="1">
      <x:c r="A9" s="1" t="n">
        <x:v>3</x:v>
      </x:c>
      <x:c r="B9" s="8" t="n">
        <x:v>2.3533634348018233</x:v>
      </x:c>
      <x:c r="C9" s="8" t="n">
        <x:v>3.1824463052837078</x:v>
      </x:c>
      <x:c r="D9" s="8" t="n">
        <x:v>5.840909309733355</x:v>
      </x:c>
      <x:c r="E9" s="1"/>
      <x:c r="F9" s="1"/>
      <x:c r="G9" s="1"/>
      <x:c r="H9" s="1"/>
    </x:row>
    <x:row r="10" ht="22" customHeight="1">
      <x:c r="A10" s="1" t="n">
        <x:v>4</x:v>
      </x:c>
      <x:c r="B10" s="8" t="n">
        <x:v>2.1318467863266495</x:v>
      </x:c>
      <x:c r="C10" s="8" t="n">
        <x:v>2.7764451051977934</x:v>
      </x:c>
      <x:c r="D10" s="8" t="n">
        <x:v>4.604094871349992</x:v>
      </x:c>
      <x:c r="E10" s="1"/>
      <x:c r="F10" s="1"/>
      <x:c r="G10" s="1"/>
      <x:c r="H10" s="1"/>
    </x:row>
    <x:row r="11" ht="22" customHeight="1">
      <x:c r="A11" s="1" t="n">
        <x:v>5</x:v>
      </x:c>
      <x:c r="B11" s="8" t="n">
        <x:v>2.015048373333023</x:v>
      </x:c>
      <x:c r="C11" s="8" t="n">
        <x:v>2.5705818356363146</x:v>
      </x:c>
      <x:c r="D11" s="8" t="n">
        <x:v>4.032142983555227</x:v>
      </x:c>
      <x:c r="E11" s="1"/>
      <x:c r="F11" s="1"/>
      <x:c r="G11" s="1"/>
      <x:c r="H11" s="1"/>
    </x:row>
    <x:row r="12" ht="22" customHeight="1">
      <x:c r="A12" s="1" t="n">
        <x:v>6</x:v>
      </x:c>
      <x:c r="B12" s="8" t="n">
        <x:v>1.9431802805153042</x:v>
      </x:c>
      <x:c r="C12" s="8" t="n">
        <x:v>2.446911851144979</x:v>
      </x:c>
      <x:c r="D12" s="8" t="n">
        <x:v>3.707428021324806</x:v>
      </x:c>
      <x:c r="E12" s="1"/>
      <x:c r="F12" s="1"/>
      <x:c r="G12" s="1"/>
      <x:c r="H12" s="1"/>
    </x:row>
    <x:row r="13" ht="22" customHeight="1">
      <x:c r="A13" s="1" t="n">
        <x:v>7</x:v>
      </x:c>
      <x:c r="B13" s="8" t="n">
        <x:v>1.8945786050900058</x:v>
      </x:c>
      <x:c r="C13" s="8" t="n">
        <x:v>2.364624251592784</x:v>
      </x:c>
      <x:c r="D13" s="8" t="n">
        <x:v>3.4994832973504924</x:v>
      </x:c>
      <x:c r="E13" s="1"/>
      <x:c r="F13" s="1"/>
      <x:c r="G13" s="1"/>
      <x:c r="H13" s="1"/>
    </x:row>
    <x:row r="14" ht="22" customHeight="1">
      <x:c r="A14" s="1" t="n">
        <x:v>8</x:v>
      </x:c>
      <x:c r="B14" s="8" t="n">
        <x:v>1.8595480375308975</x:v>
      </x:c>
      <x:c r="C14" s="8" t="n">
        <x:v>2.306004135204166</x:v>
      </x:c>
      <x:c r="D14" s="8" t="n">
        <x:v>3.355387331333395</x:v>
      </x:c>
      <x:c r="E14" s="1"/>
      <x:c r="F14" s="1"/>
      <x:c r="G14" s="1"/>
      <x:c r="H14" s="1"/>
    </x:row>
    <x:row r="15" ht="22" customHeight="1">
      <x:c r="A15" s="1" t="n">
        <x:v>9</x:v>
      </x:c>
      <x:c r="B15" s="8" t="n">
        <x:v>1.8331129326562368</x:v>
      </x:c>
      <x:c r="C15" s="8" t="n">
        <x:v>2.262157162798205</x:v>
      </x:c>
      <x:c r="D15" s="8" t="n">
        <x:v>3.2498355415921254</x:v>
      </x:c>
      <x:c r="E15" s="1"/>
      <x:c r="F15" s="1"/>
      <x:c r="G15" s="1"/>
      <x:c r="H15" s="1"/>
    </x:row>
    <x:row r="16" ht="22" customHeight="1">
      <x:c r="A16" s="1" t="n">
        <x:v>10</x:v>
      </x:c>
      <x:c r="B16" s="8" t="n">
        <x:v>1.812461122811676</x:v>
      </x:c>
      <x:c r="C16" s="8" t="n">
        <x:v>2.228138851986274</x:v>
      </x:c>
      <x:c r="D16" s="8" t="n">
        <x:v>3.16927267261695</x:v>
      </x:c>
      <x:c r="E16" s="1"/>
      <x:c r="F16" s="1"/>
      <x:c r="G16" s="1"/>
      <x:c r="H16" s="1"/>
    </x:row>
    <x:row r="17" ht="22" customHeight="1">
      <x:c r="A17" s="1" t="n">
        <x:v>11</x:v>
      </x:c>
      <x:c r="B17" s="8" t="n">
        <x:v>1.7958848187040437</x:v>
      </x:c>
      <x:c r="C17" s="8" t="n">
        <x:v>2.2009851600916384</x:v>
      </x:c>
      <x:c r="D17" s="8" t="n">
        <x:v>3.1058065155392804</x:v>
      </x:c>
      <x:c r="E17" s="1"/>
      <x:c r="F17" s="1"/>
      <x:c r="G17" s="1"/>
      <x:c r="H17" s="1"/>
    </x:row>
    <x:row r="18" ht="22" customHeight="1">
      <x:c r="A18" s="1" t="n">
        <x:v>12</x:v>
      </x:c>
      <x:c r="B18" s="8" t="n">
        <x:v>1.7822875556493194</x:v>
      </x:c>
      <x:c r="C18" s="8" t="n">
        <x:v>2.1788128296672284</x:v>
      </x:c>
      <x:c r="D18" s="8" t="n">
        <x:v>3.0545395893929013</x:v>
      </x:c>
      <x:c r="E18" s="1"/>
      <x:c r="F18" s="1"/>
      <x:c r="G18" s="1"/>
      <x:c r="H18" s="1"/>
    </x:row>
    <x:row r="19" ht="22" customHeight="1">
      <x:c r="A19" s="1" t="n">
        <x:v>13</x:v>
      </x:c>
      <x:c r="B19" s="8" t="n">
        <x:v>1.7709333959868727</x:v>
      </x:c>
      <x:c r="C19" s="8" t="n">
        <x:v>2.1603686564627913</x:v>
      </x:c>
      <x:c r="D19" s="8" t="n">
        <x:v>3.012275838716578</x:v>
      </x:c>
      <x:c r="E19" s="1"/>
      <x:c r="F19" s="1"/>
      <x:c r="G19" s="1"/>
      <x:c r="H19" s="1"/>
    </x:row>
    <x:row r="20" ht="22" customHeight="1">
      <x:c r="A20" s="1" t="n">
        <x:v>14</x:v>
      </x:c>
      <x:c r="B20" s="8" t="n">
        <x:v>1.7613101357748913</x:v>
      </x:c>
      <x:c r="C20" s="8" t="n">
        <x:v>2.144786687917804</x:v>
      </x:c>
      <x:c r="D20" s="8" t="n">
        <x:v>2.9768427343708344</x:v>
      </x:c>
      <x:c r="E20" s="1"/>
      <x:c r="F20" s="1"/>
      <x:c r="G20" s="1"/>
      <x:c r="H20" s="1"/>
    </x:row>
    <x:row r="21" ht="22" customHeight="1">
      <x:c r="A21" s="1" t="n">
        <x:v>15</x:v>
      </x:c>
      <x:c r="B21" s="8" t="n">
        <x:v>1.7530503556925727</x:v>
      </x:c>
      <x:c r="C21" s="8" t="n">
        <x:v>2.131449545559776</x:v>
      </x:c>
      <x:c r="D21" s="8" t="n">
        <x:v>2.946712883475238</x:v>
      </x:c>
      <x:c r="E21" s="1"/>
      <x:c r="F21" s="1"/>
      <x:c r="G21" s="1"/>
      <x:c r="H21" s="1"/>
    </x:row>
    <x:row r="22" ht="22" customHeight="1">
      <x:c r="A22" s="1" t="n">
        <x:v>16</x:v>
      </x:c>
      <x:c r="B22" s="8" t="n">
        <x:v>1.7458836762762504</x:v>
      </x:c>
      <x:c r="C22" s="8" t="n">
        <x:v>2.1199052992212546</x:v>
      </x:c>
      <x:c r="D22" s="8" t="n">
        <x:v>2.9207816224251006</x:v>
      </x:c>
      <x:c r="E22" s="1"/>
      <x:c r="F22" s="1"/>
      <x:c r="G22" s="1"/>
      <x:c r="H22" s="1"/>
    </x:row>
    <x:row r="23" ht="22" customHeight="1">
      <x:c r="A23" s="1" t="n">
        <x:v>17</x:v>
      </x:c>
      <x:c r="B23" s="8" t="n">
        <x:v>1.7396067260750727</x:v>
      </x:c>
      <x:c r="C23" s="8" t="n">
        <x:v>2.1098155778333156</x:v>
      </x:c>
      <x:c r="D23" s="8" t="n">
        <x:v>2.8982305196774183</x:v>
      </x:c>
      <x:c r="E23" s="1"/>
      <x:c r="F23" s="1"/>
      <x:c r="G23" s="1"/>
      <x:c r="H23" s="1"/>
    </x:row>
    <x:row r="24" ht="22" customHeight="1">
      <x:c r="A24" s="1" t="n">
        <x:v>18</x:v>
      </x:c>
      <x:c r="B24" s="8" t="n">
        <x:v>1.7340636066175388</x:v>
      </x:c>
      <x:c r="C24" s="8" t="n">
        <x:v>2.1009220402410382</x:v>
      </x:c>
      <x:c r="D24" s="8" t="n">
        <x:v>2.8784404727386077</x:v>
      </x:c>
      <x:c r="E24" s="1"/>
      <x:c r="F24" s="1"/>
      <x:c r="G24" s="1"/>
      <x:c r="H24" s="1"/>
    </x:row>
    <x:row r="25" ht="22" customHeight="1">
      <x:c r="A25" s="1" t="n">
        <x:v>19</x:v>
      </x:c>
      <x:c r="B25" s="8" t="n">
        <x:v>1.7291328115213687</x:v>
      </x:c>
      <x:c r="C25" s="8" t="n">
        <x:v>2.0930240544083087</x:v>
      </x:c>
      <x:c r="D25" s="8" t="n">
        <x:v>2.8609346064649794</x:v>
      </x:c>
      <x:c r="E25" s="1"/>
      <x:c r="F25" s="1"/>
      <x:c r="G25" s="1"/>
      <x:c r="H25" s="1"/>
    </x:row>
    <x:row r="26" ht="22" customHeight="1">
      <x:c r="A26" s="1" t="n">
        <x:v>20</x:v>
      </x:c>
      <x:c r="B26" s="8" t="n">
        <x:v>1.7247182429207875</x:v>
      </x:c>
      <x:c r="C26" s="8" t="n">
        <x:v>2.0859634472658644</x:v>
      </x:c>
      <x:c r="D26" s="8" t="n">
        <x:v>2.8453397097861077</x:v>
      </x:c>
      <x:c r="E26" s="1"/>
      <x:c r="F26" s="1"/>
      <x:c r="G26" s="1"/>
      <x:c r="H26" s="1"/>
    </x:row>
    <x:row r="27" ht="22" customHeight="1">
      <x:c r="A27" s="1" t="n">
        <x:v>21</x:v>
      </x:c>
      <x:c r="B27" s="8" t="n">
        <x:v>1.7207429028118781</x:v>
      </x:c>
      <x:c r="C27" s="8" t="n">
        <x:v>2.0796138447276795</x:v>
      </x:c>
      <x:c r="D27" s="8" t="n">
        <x:v>2.83135955802305</x:v>
      </x:c>
      <x:c r="E27" s="1"/>
      <x:c r="F27" s="1"/>
      <x:c r="G27" s="1"/>
      <x:c r="H27" s="1"/>
    </x:row>
    <x:row r="28" ht="22" customHeight="1">
      <x:c r="A28" s="1" t="n">
        <x:v>22</x:v>
      </x:c>
      <x:c r="B28" s="8" t="n">
        <x:v>1.7171443743802424</x:v>
      </x:c>
      <x:c r="C28" s="8" t="n">
        <x:v>2.0738730679040254</x:v>
      </x:c>
      <x:c r="D28" s="8" t="n">
        <x:v>2.8187560606001423</x:v>
      </x:c>
      <x:c r="E28" s="1"/>
      <x:c r="F28" s="1"/>
      <x:c r="G28" s="1"/>
      <x:c r="H28" s="1"/>
    </x:row>
    <x:row r="29" ht="22" customHeight="1">
      <x:c r="A29" s="1" t="n">
        <x:v>23</x:v>
      </x:c>
      <x:c r="B29" s="8" t="n">
        <x:v>1.713871527747048</x:v>
      </x:c>
      <x:c r="C29" s="8" t="n">
        <x:v>2.0686576104190486</x:v>
      </x:c>
      <x:c r="D29" s="8" t="n">
        <x:v>2.807335683769999</x:v>
      </x:c>
      <x:c r="E29" s="1"/>
      <x:c r="F29" s="1"/>
      <x:c r="G29" s="1"/>
      <x:c r="H29" s="1"/>
    </x:row>
    <x:row r="30" ht="22" customHeight="1">
      <x:c r="A30" s="1" t="n">
        <x:v>24</x:v>
      </x:c>
      <x:c r="B30" s="8" t="n">
        <x:v>1.710882079909428</x:v>
      </x:c>
      <x:c r="C30" s="8" t="n">
        <x:v>2.063898561628024</x:v>
      </x:c>
      <x:c r="D30" s="8" t="n">
        <x:v>2.796939504774456</x:v>
      </x:c>
      <x:c r="E30" s="1"/>
      <x:c r="F30" s="1"/>
      <x:c r="G30" s="1"/>
      <x:c r="H30" s="1"/>
    </x:row>
    <x:row r="31" ht="22" customHeight="1">
      <x:c r="A31" s="1" t="n">
        <x:v>25</x:v>
      </x:c>
      <x:c r="B31" s="8" t="n">
        <x:v>1.7081407612518988</x:v>
      </x:c>
      <x:c r="C31" s="8" t="n">
        <x:v>2.0595385527532977</x:v>
      </x:c>
      <x:c r="D31" s="8" t="n">
        <x:v>2.78743581367697</x:v>
      </x:c>
      <x:c r="E31" s="1"/>
      <x:c r="F31" s="1"/>
      <x:c r="G31" s="1"/>
      <x:c r="H31" s="1"/>
    </x:row>
    <x:row r="32" ht="22" customHeight="1">
      <x:c r="A32" s="1" t="n">
        <x:v>26</x:v>
      </x:c>
      <x:c r="B32" s="8" t="n">
        <x:v>1.705617919759273</x:v>
      </x:c>
      <x:c r="C32" s="8" t="n">
        <x:v>2.0555294386428735</x:v>
      </x:c>
      <x:c r="D32" s="8" t="n">
        <x:v>2.778714533329683</x:v>
      </x:c>
      <x:c r="E32" s="1"/>
      <x:c r="F32" s="1"/>
      <x:c r="G32" s="1"/>
      <x:c r="H32" s="1"/>
    </x:row>
    <x:row r="33" ht="22" customHeight="1">
      <x:c r="A33" s="1" t="n">
        <x:v>27</x:v>
      </x:c>
      <x:c r="B33" s="8" t="n">
        <x:v>1.7032884457221267</x:v>
      </x:c>
      <x:c r="C33" s="8" t="n">
        <x:v>2.0518305164802846</x:v>
      </x:c>
      <x:c r="D33" s="8" t="n">
        <x:v>2.770682957122211</x:v>
      </x:c>
      <x:c r="E33" s="1"/>
      <x:c r="F33" s="1"/>
      <x:c r="G33" s="1"/>
      <x:c r="H33" s="1"/>
    </x:row>
    <x:row r="34" ht="22" customHeight="1">
      <x:c r="A34" s="1" t="n">
        <x:v>28</x:v>
      </x:c>
      <x:c r="B34" s="8" t="n">
        <x:v>1.7011309342659309</x:v>
      </x:c>
      <x:c r="C34" s="8" t="n">
        <x:v>2.048407141795245</x:v>
      </x:c>
      <x:c r="D34" s="8" t="n">
        <x:v>2.763262455461444</x:v>
      </x:c>
      <x:c r="E34" s="1"/>
      <x:c r="F34" s="1"/>
      <x:c r="G34" s="1"/>
      <x:c r="H34" s="1"/>
    </x:row>
    <x:row r="35" ht="22" customHeight="1">
      <x:c r="A35" s="1" t="n">
        <x:v>29</x:v>
      </x:c>
      <x:c r="B35" s="8" t="n">
        <x:v>1.6991270265334975</x:v>
      </x:c>
      <x:c r="C35" s="8" t="n">
        <x:v>2.045229642132704</x:v>
      </x:c>
      <x:c r="D35" s="8" t="n">
        <x:v>2.756385903670605</x:v>
      </x:c>
      <x:c r="E35" s="1"/>
      <x:c r="F35" s="1"/>
      <x:c r="G35" s="1"/>
      <x:c r="H35" s="1"/>
    </x:row>
    <x:row r="36">
      <x:c r="A36" t="n">
        <x:v>30</x:v>
      </x:c>
      <x:c r="B36" s="9" t="n">
        <x:v>1.6972608865939571</x:v>
      </x:c>
      <x:c r="C36" s="9" t="n">
        <x:v>2.0422724563012378</x:v>
      </x:c>
      <x:c r="D36" s="9" t="n">
        <x:v>2.7499956535672254</x:v>
      </x:c>
    </x:row>
    <x:row r="37">
      <x:c r="A37" t="n">
        <x:v>31</x:v>
      </x:c>
      <x:c r="B37" s="9" t="n">
        <x:v>1.6955187825458646</x:v>
      </x:c>
      <x:c r="C37" s="9" t="n">
        <x:v>2.039513446396408</x:v>
      </x:c>
      <x:c r="D37" s="9" t="n">
        <x:v>2.744041919294269</x:v>
      </x:c>
    </x:row>
    <x:row r="38">
      <x:c r="A38" t="n">
        <x:v>32</x:v>
      </x:c>
      <x:c r="B38" s="9" t="n">
        <x:v>1.6938887483837104</x:v>
      </x:c>
      <x:c r="C38" s="9" t="n">
        <x:v>2.0369333434601016</x:v>
      </x:c>
      <x:c r="D38" s="9" t="n">
        <x:v>2.7384814820121877</x:v>
      </x:c>
    </x:row>
    <x:row r="39">
      <x:c r="A39" t="n">
        <x:v>33</x:v>
      </x:c>
      <x:c r="B39" s="9" t="n">
        <x:v>1.692360309030344</x:v>
      </x:c>
      <x:c r="C39" s="9" t="n">
        <x:v>2.0345152974493383</x:v>
      </x:c>
      <x:c r="D39" s="9" t="n">
        <x:v>2.7332766423508357</x:v>
      </x:c>
    </x:row>
    <x:row r="40">
      <x:c r="A40" t="n">
        <x:v>34</x:v>
      </x:c>
      <x:c r="B40" s="9" t="n">
        <x:v>1.6909242551868549</x:v>
      </x:c>
      <x:c r="C40" s="9" t="n">
        <x:v>2.0322445093177186</x:v>
      </x:c>
      <x:c r="D40" s="9" t="n">
        <x:v>2.7283943670707203</x:v>
      </x:c>
    </x:row>
    <x:row r="41">
      <x:c r="A41" t="n">
        <x:v>35</x:v>
      </x:c>
      <x:c r="B41" s="9" t="n">
        <x:v>1.689572457780265</x:v>
      </x:c>
      <x:c r="C41" s="9" t="n">
        <x:v>2.0301079282503425</x:v>
      </x:c>
      <x:c r="D41" s="9" t="n">
        <x:v>2.7238055892080912</x:v>
      </x:c>
    </x:row>
    <x:row r="42">
      <x:c r="A42" t="n">
        <x:v>36</x:v>
      </x:c>
      <x:c r="B42" s="9" t="n">
        <x:v>1.6882977141168156</x:v>
      </x:c>
      <x:c r="C42" s="9" t="n">
        <x:v>2.0280940009804502</x:v>
      </x:c>
      <x:c r="D42" s="9" t="n">
        <x:v>2.7194846304500073</x:v>
      </x:c>
    </x:row>
    <x:row r="43">
      <x:c r="A43" t="n">
        <x:v>37</x:v>
      </x:c>
      <x:c r="B43" s="9" t="n">
        <x:v>1.6870936195962634</x:v>
      </x:c>
      <x:c r="C43" s="9" t="n">
        <x:v>2.0261924630291093</x:v>
      </x:c>
      <x:c r="D43" s="9" t="n">
        <x:v>2.7154087215499882</x:v>
      </x:c>
    </x:row>
    <x:row r="44">
      <x:c r="A44" t="n">
        <x:v>38</x:v>
      </x:c>
      <x:c r="B44" s="9" t="n">
        <x:v>1.685954460166737</x:v>
      </x:c>
      <x:c r="C44" s="9" t="n">
        <x:v>2.0243941639119694</x:v>
      </x:c>
      <x:c r="D44" s="9" t="n">
        <x:v>2.7115576019130825</x:v>
      </x:c>
    </x:row>
    <x:row r="45">
      <x:c r="A45" t="n">
        <x:v>39</x:v>
      </x:c>
      <x:c r="B45" s="9" t="n">
        <x:v>1.684875121711225</x:v>
      </x:c>
      <x:c r="C45" s="9" t="n">
        <x:v>2.022690920036761</x:v>
      </x:c>
      <x:c r="D45" s="9" t="n">
        <x:v>2.707913183517662</x:v>
      </x:c>
    </x:row>
    <x:row r="48" ht="40" customHeight="1">
      <x:c r="A48" s="10" t="str">
        <x:v>Computed with scipy.stats.t.ppf((1+confidence)/2, df). df=1–39 supports 2–40 observations; confidence choices are 90%, 95%, 99%.</x:v>
      </x:c>
      <x:c r="B48" s="10"/>
      <x:c r="C48" s="10"/>
      <x:c r="D48" s="10"/>
      <x:c r="E48" s="10"/>
      <x:c r="F48" s="10"/>
      <x:c r="G48" s="10"/>
      <x:c r="H48" s="10"/>
    </x:row>
    <x:row r="50" ht="40" customHeight="1">
      <x:c r="A50" s="10" t="str">
        <x:v>These tabulated quantiles avoid a calculation-engine incompatibility in T.INV.2T. Excel can independently verify the entries with T.INV.2T(1-confidence,df).</x:v>
      </x:c>
      <x:c r="B50" s="10"/>
      <x:c r="C50" s="10"/>
      <x:c r="D50" s="10"/>
      <x:c r="E50" s="10"/>
      <x:c r="F50" s="10"/>
      <x:c r="G50" s="10"/>
      <x:c r="H50" s="10"/>
    </x:row>
  </x:sheetData>
  <x:mergeCells>
    <x:mergeCell ref="A48:H48"/>
    <x:mergeCell ref="A50:H5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KPI definitions — same period and currency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22" customHeight="1">
      <x:c r="A5" s="1"/>
      <x:c r="B5" s="1"/>
      <x:c r="C5" s="1"/>
      <x:c r="D5" s="1"/>
      <x:c r="E5" s="1"/>
      <x:c r="F5" s="1"/>
      <x:c r="G5" s="1"/>
      <x:c r="H5" s="1"/>
    </x:row>
    <x:row r="6" ht="30" customHeight="1">
      <x:c r="A6" s="5" t="str">
        <x:v>Input</x:v>
      </x:c>
      <x:c r="B6" s="5" t="str">
        <x:v>Value</x:v>
      </x:c>
      <x:c r="C6" s="5" t="str">
        <x:v>Unit / definition</x:v>
      </x:c>
      <x:c r="D6" s="1"/>
      <x:c r="E6" s="5" t="str">
        <x:v>Output</x:v>
      </x:c>
      <x:c r="F6" s="5" t="str">
        <x:v>Calculated</x:v>
      </x:c>
      <x:c r="G6" s="1"/>
      <x:c r="H6" s="1"/>
    </x:row>
    <x:row r="7" ht="22" customHeight="1">
      <x:c r="A7" s="1" t="str">
        <x:v>Revenue</x:v>
      </x:c>
      <x:c r="B7" s="11"/>
      <x:c r="C7" s="1" t="str">
        <x:v>Currency</x:v>
      </x:c>
      <x:c r="D7" s="1"/>
      <x:c r="E7" s="1" t="str">
        <x:v>Profit</x:v>
      </x:c>
      <x:c r="F7" s="13" t="str">
        <x:f>IF(COUNT(B7:B8)&lt;2,"",B7-B8)</x:f>
      </x:c>
      <x:c r="G7" s="1"/>
      <x:c r="H7" s="1"/>
    </x:row>
    <x:row r="8" ht="22" customHeight="1">
      <x:c r="A8" s="1" t="str">
        <x:v>Costs</x:v>
      </x:c>
      <x:c r="B8" s="11"/>
      <x:c r="C8" s="1" t="str">
        <x:v>Same currency / period</x:v>
      </x:c>
      <x:c r="D8" s="1"/>
      <x:c r="E8" s="1" t="str">
        <x:v>Profit margin</x:v>
      </x:c>
      <x:c r="F8" s="15" t="str">
        <x:f>IF(OR(F7="",B7=0),"",F7/B7)</x:f>
      </x:c>
      <x:c r="G8" s="1"/>
      <x:c r="H8" s="1"/>
    </x:row>
    <x:row r="9" ht="22" customHeight="1">
      <x:c r="A9" s="1" t="str">
        <x:v>Marketing spend</x:v>
      </x:c>
      <x:c r="B9" s="11"/>
      <x:c r="C9" s="1" t="str">
        <x:v>Same attribution period</x:v>
      </x:c>
      <x:c r="D9" s="1"/>
      <x:c r="E9" s="1" t="str">
        <x:v>CAC</x:v>
      </x:c>
      <x:c r="F9" s="13" t="str">
        <x:f>IF(OR(COUNT(B9:B10)&lt;2,B10&lt;=0),"",B9/B10)</x:f>
      </x:c>
      <x:c r="G9" s="1"/>
      <x:c r="H9" s="1"/>
    </x:row>
    <x:row r="10" ht="22" customHeight="1">
      <x:c r="A10" s="1" t="str">
        <x:v>New customers</x:v>
      </x:c>
      <x:c r="B10" s="11"/>
      <x:c r="C10" s="1" t="str">
        <x:v>Count</x:v>
      </x:c>
      <x:c r="D10" s="1"/>
      <x:c r="E10" s="1" t="str">
        <x:v>ROI</x:v>
      </x:c>
      <x:c r="F10" s="15" t="str">
        <x:f>IF(OR(COUNT(B11:B12)&lt;2,B12&lt;=0),"",B11/B12)</x:f>
      </x:c>
      <x:c r="G10" s="1"/>
      <x:c r="H10" s="1"/>
    </x:row>
    <x:row r="11" ht="22" customHeight="1">
      <x:c r="A11" s="1" t="str">
        <x:v>Investment gain</x:v>
      </x:c>
      <x:c r="B11" s="11"/>
      <x:c r="C11" s="1" t="str">
        <x:v>Net gain</x:v>
      </x:c>
      <x:c r="D11" s="1"/>
      <x:c r="E11" s="1" t="str">
        <x:v>Target attainment</x:v>
      </x:c>
      <x:c r="F11" s="15" t="str">
        <x:f>IF(OR(COUNT(B7,B13)&lt;2,B13&lt;=0),"",B7/B13)</x:f>
      </x:c>
      <x:c r="G11" s="1"/>
      <x:c r="H11" s="1"/>
    </x:row>
    <x:row r="12" ht="22" customHeight="1">
      <x:c r="A12" s="1" t="str">
        <x:v>Investment cost</x:v>
      </x:c>
      <x:c r="B12" s="11"/>
      <x:c r="C12" s="1" t="str">
        <x:v>Positive cost</x:v>
      </x:c>
      <x:c r="D12" s="1"/>
      <x:c r="E12" s="1"/>
      <x:c r="F12" s="1"/>
      <x:c r="G12" s="1"/>
      <x:c r="H12" s="1"/>
    </x:row>
    <x:row r="13" ht="22" customHeight="1">
      <x:c r="A13" s="1" t="str">
        <x:v>Target revenue</x:v>
      </x:c>
      <x:c r="B13" s="11"/>
      <x:c r="C13" s="1" t="str">
        <x:v>Comparable target</x:v>
      </x:c>
      <x:c r="D13" s="1"/>
      <x:c r="E13" s="1"/>
      <x:c r="F13" s="1"/>
      <x:c r="G13" s="1"/>
      <x:c r="H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</x:row>
    <x:row r="16" ht="40" customHeight="1">
      <x:c r="A16" s="6" t="str">
        <x:v>ROI here uses net investment gain divided by investment cost. Record your task-specific definition. Profit requires costs; revenue alone cannot supply it.</x:v>
      </x:c>
      <x:c r="B16" s="6"/>
      <x:c r="C16" s="6"/>
      <x:c r="D16" s="6"/>
      <x:c r="E16" s="6"/>
      <x:c r="F16" s="6"/>
      <x:c r="G16" s="6"/>
      <x:c r="H16" s="6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A16:H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Simple regression — complete X/Y pairs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22" customHeight="1">
      <x:c r="A5" s="1"/>
      <x:c r="B5" s="1"/>
      <x:c r="C5" s="1"/>
      <x:c r="D5" s="1"/>
      <x:c r="E5" s="1"/>
      <x:c r="F5" s="1"/>
      <x:c r="G5" s="1"/>
      <x:c r="H5" s="1"/>
    </x:row>
    <x:row r="6" ht="30" customHeight="1">
      <x:c r="A6" s="5" t="str">
        <x:v>Case</x:v>
      </x:c>
      <x:c r="B6" s="5" t="str">
        <x:v>X</x:v>
      </x:c>
      <x:c r="C6" s="5" t="str">
        <x:v>Y</x:v>
      </x:c>
      <x:c r="D6" s="5" t="str">
        <x:v>Predicted Y</x:v>
      </x:c>
      <x:c r="E6" s="5" t="str">
        <x:v>Complete pair</x:v>
      </x:c>
      <x:c r="F6" s="5" t="str">
        <x:v>Metric</x:v>
      </x:c>
      <x:c r="G6" s="5" t="str">
        <x:v>Calculated</x:v>
      </x:c>
      <x:c r="H6" s="1"/>
    </x:row>
    <x:row r="7" ht="22" customHeight="1">
      <x:c r="A7" s="1" t="n">
        <x:v>1</x:v>
      </x:c>
      <x:c r="B7" s="11"/>
      <x:c r="C7" s="11"/>
      <x:c r="D7" s="13" t="str">
        <x:f>IF(OR(B7="",C7="",$G$8="",$G$9=""),"",$G$9+$G$8*B7)</x:f>
      </x:c>
      <x:c r="E7" s="13" t="n">
        <x:f>IF(COUNT(B7:C7)=2,1,0)</x:f>
        <x:v>0</x:v>
      </x:c>
      <x:c r="F7" s="1" t="str">
        <x:v>Valid pairs</x:v>
      </x:c>
      <x:c r="G7" s="13" t="n">
        <x:f>IF(COUNT(B7:C26)&lt;&gt;2*SUM(E7:E26),"",SUM(E7:E26))</x:f>
        <x:v>0</x:v>
      </x:c>
      <x:c r="H7" s="1"/>
    </x:row>
    <x:row r="8" ht="22" customHeight="1">
      <x:c r="A8" s="1" t="n">
        <x:v>2</x:v>
      </x:c>
      <x:c r="B8" s="11"/>
      <x:c r="C8" s="11"/>
      <x:c r="D8" s="13" t="str">
        <x:f>IF(OR(B8="",C8="",$G$8="",$G$9=""),"",$G$9+$G$8*B8)</x:f>
      </x:c>
      <x:c r="E8" s="13" t="n">
        <x:f>IF(COUNT(B8:C8)=2,1,0)</x:f>
        <x:v>0</x:v>
      </x:c>
      <x:c r="F8" s="1" t="str">
        <x:v>Slope</x:v>
      </x:c>
      <x:c r="G8" s="13" t="str">
        <x:f>IF(OR(G7="",G7&lt;3),"",IF(OR(_xlfn.VAR.P(B7:B26)=0),"",SLOPE(C7:C26,B7:B26)))</x:f>
      </x:c>
      <x:c r="H8" s="1"/>
    </x:row>
    <x:row r="9" ht="22" customHeight="1">
      <x:c r="A9" s="1" t="n">
        <x:v>3</x:v>
      </x:c>
      <x:c r="B9" s="11"/>
      <x:c r="C9" s="11"/>
      <x:c r="D9" s="13" t="str">
        <x:f>IF(OR(B9="",C9="",$G$8="",$G$9=""),"",$G$9+$G$8*B9)</x:f>
      </x:c>
      <x:c r="E9" s="13" t="n">
        <x:f>IF(COUNT(B9:C9)=2,1,0)</x:f>
        <x:v>0</x:v>
      </x:c>
      <x:c r="F9" s="1" t="str">
        <x:v>Intercept</x:v>
      </x:c>
      <x:c r="G9" s="13" t="str">
        <x:f>IF(OR(G7="",G7&lt;3),"",IF(OR(_xlfn.VAR.P(B7:B26)=0),"",INTERCEPT(C7:C26,B7:B26)))</x:f>
      </x:c>
      <x:c r="H9" s="1"/>
    </x:row>
    <x:row r="10" ht="22" customHeight="1">
      <x:c r="A10" s="1" t="n">
        <x:v>4</x:v>
      </x:c>
      <x:c r="B10" s="11"/>
      <x:c r="C10" s="11"/>
      <x:c r="D10" s="13" t="str">
        <x:f>IF(OR(B10="",C10="",$G$8="",$G$9=""),"",$G$9+$G$8*B10)</x:f>
      </x:c>
      <x:c r="E10" s="13" t="n">
        <x:f>IF(COUNT(B10:C10)=2,1,0)</x:f>
        <x:v>0</x:v>
      </x:c>
      <x:c r="F10" s="1" t="str">
        <x:v>R²</x:v>
      </x:c>
      <x:c r="G10" s="13" t="str">
        <x:f>IF(OR(G7="",G7&lt;3),"",IF(OR(_xlfn.VAR.P(B7:B26)=0,_xlfn.VAR.P(C7:C26)=0),"",RSQ(C7:C26,B7:B26)))</x:f>
      </x:c>
      <x:c r="H10" s="1"/>
    </x:row>
    <x:row r="11" ht="22" customHeight="1">
      <x:c r="A11" s="1" t="n">
        <x:v>5</x:v>
      </x:c>
      <x:c r="B11" s="11"/>
      <x:c r="C11" s="11"/>
      <x:c r="D11" s="13" t="str">
        <x:f>IF(OR(B11="",C11="",$G$8="",$G$9=""),"",$G$9+$G$8*B11)</x:f>
      </x:c>
      <x:c r="E11" s="13" t="n">
        <x:f>IF(COUNT(B11:C11)=2,1,0)</x:f>
        <x:v>0</x:v>
      </x:c>
      <x:c r="F11" s="1" t="str">
        <x:v>Correlation</x:v>
      </x:c>
      <x:c r="G11" s="13" t="str">
        <x:f>IF(OR(G7="",G7&lt;3),"",IF(OR(_xlfn.VAR.P(B7:B26)=0,_xlfn.VAR.P(C7:C26)=0),"",CORREL(C7:C26,B7:B26)))</x:f>
      </x:c>
      <x:c r="H11" s="1"/>
    </x:row>
    <x:row r="12" ht="22" customHeight="1">
      <x:c r="A12" s="1" t="n">
        <x:v>6</x:v>
      </x:c>
      <x:c r="B12" s="11"/>
      <x:c r="C12" s="11"/>
      <x:c r="D12" s="13" t="str">
        <x:f>IF(OR(B12="",C12="",$G$8="",$G$9=""),"",$G$9+$G$8*B12)</x:f>
      </x:c>
      <x:c r="E12" s="13" t="n">
        <x:f>IF(COUNT(B12:C12)=2,1,0)</x:f>
        <x:v>0</x:v>
      </x:c>
      <x:c r="F12" s="1"/>
      <x:c r="G12" s="1"/>
      <x:c r="H12" s="1"/>
    </x:row>
    <x:row r="13" ht="22" customHeight="1">
      <x:c r="A13" s="1" t="n">
        <x:v>7</x:v>
      </x:c>
      <x:c r="B13" s="11"/>
      <x:c r="C13" s="11"/>
      <x:c r="D13" s="13" t="str">
        <x:f>IF(OR(B13="",C13="",$G$8="",$G$9=""),"",$G$9+$G$8*B13)</x:f>
      </x:c>
      <x:c r="E13" s="13" t="n">
        <x:f>IF(COUNT(B13:C13)=2,1,0)</x:f>
        <x:v>0</x:v>
      </x:c>
      <x:c r="F13" s="1"/>
      <x:c r="G13" s="1"/>
      <x:c r="H13" s="1"/>
    </x:row>
    <x:row r="14" ht="22" customHeight="1">
      <x:c r="A14" s="1" t="n">
        <x:v>8</x:v>
      </x:c>
      <x:c r="B14" s="11"/>
      <x:c r="C14" s="11"/>
      <x:c r="D14" s="13" t="str">
        <x:f>IF(OR(B14="",C14="",$G$8="",$G$9=""),"",$G$9+$G$8*B14)</x:f>
      </x:c>
      <x:c r="E14" s="13" t="n">
        <x:f>IF(COUNT(B14:C14)=2,1,0)</x:f>
        <x:v>0</x:v>
      </x:c>
      <x:c r="F14" s="1"/>
      <x:c r="G14" s="1"/>
      <x:c r="H14" s="1"/>
    </x:row>
    <x:row r="15" ht="22" customHeight="1">
      <x:c r="A15" s="1" t="n">
        <x:v>9</x:v>
      </x:c>
      <x:c r="B15" s="11"/>
      <x:c r="C15" s="11"/>
      <x:c r="D15" s="13" t="str">
        <x:f>IF(OR(B15="",C15="",$G$8="",$G$9=""),"",$G$9+$G$8*B15)</x:f>
      </x:c>
      <x:c r="E15" s="13" t="n">
        <x:f>IF(COUNT(B15:C15)=2,1,0)</x:f>
        <x:v>0</x:v>
      </x:c>
      <x:c r="F15" s="1"/>
      <x:c r="G15" s="1"/>
      <x:c r="H15" s="1"/>
    </x:row>
    <x:row r="16" ht="22" customHeight="1">
      <x:c r="A16" s="1" t="n">
        <x:v>10</x:v>
      </x:c>
      <x:c r="B16" s="11"/>
      <x:c r="C16" s="11"/>
      <x:c r="D16" s="13" t="str">
        <x:f>IF(OR(B16="",C16="",$G$8="",$G$9=""),"",$G$9+$G$8*B16)</x:f>
      </x:c>
      <x:c r="E16" s="13" t="n">
        <x:f>IF(COUNT(B16:C16)=2,1,0)</x:f>
        <x:v>0</x:v>
      </x:c>
      <x:c r="F16" s="1"/>
      <x:c r="G16" s="1"/>
      <x:c r="H16" s="1"/>
    </x:row>
    <x:row r="17" ht="22" customHeight="1">
      <x:c r="A17" s="1" t="n">
        <x:v>11</x:v>
      </x:c>
      <x:c r="B17" s="11"/>
      <x:c r="C17" s="11"/>
      <x:c r="D17" s="13" t="str">
        <x:f>IF(OR(B17="",C17="",$G$8="",$G$9=""),"",$G$9+$G$8*B17)</x:f>
      </x:c>
      <x:c r="E17" s="13" t="n">
        <x:f>IF(COUNT(B17:C17)=2,1,0)</x:f>
        <x:v>0</x:v>
      </x:c>
      <x:c r="F17" s="1"/>
      <x:c r="G17" s="1"/>
      <x:c r="H17" s="1"/>
    </x:row>
    <x:row r="18" ht="22" customHeight="1">
      <x:c r="A18" s="1" t="n">
        <x:v>12</x:v>
      </x:c>
      <x:c r="B18" s="11"/>
      <x:c r="C18" s="11"/>
      <x:c r="D18" s="13" t="str">
        <x:f>IF(OR(B18="",C18="",$G$8="",$G$9=""),"",$G$9+$G$8*B18)</x:f>
      </x:c>
      <x:c r="E18" s="13" t="n">
        <x:f>IF(COUNT(B18:C18)=2,1,0)</x:f>
        <x:v>0</x:v>
      </x:c>
      <x:c r="F18" s="1"/>
      <x:c r="G18" s="1"/>
      <x:c r="H18" s="1"/>
    </x:row>
    <x:row r="19" ht="22" customHeight="1">
      <x:c r="A19" s="1" t="n">
        <x:v>13</x:v>
      </x:c>
      <x:c r="B19" s="11"/>
      <x:c r="C19" s="11"/>
      <x:c r="D19" s="13" t="str">
        <x:f>IF(OR(B19="",C19="",$G$8="",$G$9=""),"",$G$9+$G$8*B19)</x:f>
      </x:c>
      <x:c r="E19" s="13" t="n">
        <x:f>IF(COUNT(B19:C19)=2,1,0)</x:f>
        <x:v>0</x:v>
      </x:c>
      <x:c r="F19" s="1"/>
      <x:c r="G19" s="1"/>
      <x:c r="H19" s="1"/>
    </x:row>
    <x:row r="20" ht="22" customHeight="1">
      <x:c r="A20" s="1" t="n">
        <x:v>14</x:v>
      </x:c>
      <x:c r="B20" s="11"/>
      <x:c r="C20" s="11"/>
      <x:c r="D20" s="13" t="str">
        <x:f>IF(OR(B20="",C20="",$G$8="",$G$9=""),"",$G$9+$G$8*B20)</x:f>
      </x:c>
      <x:c r="E20" s="13" t="n">
        <x:f>IF(COUNT(B20:C20)=2,1,0)</x:f>
        <x:v>0</x:v>
      </x:c>
      <x:c r="F20" s="1"/>
      <x:c r="G20" s="1"/>
      <x:c r="H20" s="1"/>
    </x:row>
    <x:row r="21" ht="22" customHeight="1">
      <x:c r="A21" s="1" t="n">
        <x:v>15</x:v>
      </x:c>
      <x:c r="B21" s="11"/>
      <x:c r="C21" s="11"/>
      <x:c r="D21" s="13" t="str">
        <x:f>IF(OR(B21="",C21="",$G$8="",$G$9=""),"",$G$9+$G$8*B21)</x:f>
      </x:c>
      <x:c r="E21" s="13" t="n">
        <x:f>IF(COUNT(B21:C21)=2,1,0)</x:f>
        <x:v>0</x:v>
      </x:c>
      <x:c r="F21" s="1"/>
      <x:c r="G21" s="1"/>
      <x:c r="H21" s="1"/>
    </x:row>
    <x:row r="22" ht="22" customHeight="1">
      <x:c r="A22" s="1" t="n">
        <x:v>16</x:v>
      </x:c>
      <x:c r="B22" s="11"/>
      <x:c r="C22" s="11"/>
      <x:c r="D22" s="13" t="str">
        <x:f>IF(OR(B22="",C22="",$G$8="",$G$9=""),"",$G$9+$G$8*B22)</x:f>
      </x:c>
      <x:c r="E22" s="13" t="n">
        <x:f>IF(COUNT(B22:C22)=2,1,0)</x:f>
        <x:v>0</x:v>
      </x:c>
      <x:c r="F22" s="1"/>
      <x:c r="G22" s="1"/>
      <x:c r="H22" s="1"/>
    </x:row>
    <x:row r="23" ht="22" customHeight="1">
      <x:c r="A23" s="1" t="n">
        <x:v>17</x:v>
      </x:c>
      <x:c r="B23" s="11"/>
      <x:c r="C23" s="11"/>
      <x:c r="D23" s="13" t="str">
        <x:f>IF(OR(B23="",C23="",$G$8="",$G$9=""),"",$G$9+$G$8*B23)</x:f>
      </x:c>
      <x:c r="E23" s="13" t="n">
        <x:f>IF(COUNT(B23:C23)=2,1,0)</x:f>
        <x:v>0</x:v>
      </x:c>
      <x:c r="F23" s="1"/>
      <x:c r="G23" s="1"/>
      <x:c r="H23" s="1"/>
    </x:row>
    <x:row r="24" ht="22" customHeight="1">
      <x:c r="A24" s="1" t="n">
        <x:v>18</x:v>
      </x:c>
      <x:c r="B24" s="11"/>
      <x:c r="C24" s="11"/>
      <x:c r="D24" s="13" t="str">
        <x:f>IF(OR(B24="",C24="",$G$8="",$G$9=""),"",$G$9+$G$8*B24)</x:f>
      </x:c>
      <x:c r="E24" s="13" t="n">
        <x:f>IF(COUNT(B24:C24)=2,1,0)</x:f>
        <x:v>0</x:v>
      </x:c>
      <x:c r="F24" s="1"/>
      <x:c r="G24" s="1"/>
      <x:c r="H24" s="1"/>
    </x:row>
    <x:row r="25" ht="22" customHeight="1">
      <x:c r="A25" s="1" t="n">
        <x:v>19</x:v>
      </x:c>
      <x:c r="B25" s="11"/>
      <x:c r="C25" s="11"/>
      <x:c r="D25" s="13" t="str">
        <x:f>IF(OR(B25="",C25="",$G$8="",$G$9=""),"",$G$9+$G$8*B25)</x:f>
      </x:c>
      <x:c r="E25" s="13" t="n">
        <x:f>IF(COUNT(B25:C25)=2,1,0)</x:f>
        <x:v>0</x:v>
      </x:c>
      <x:c r="F25" s="1"/>
      <x:c r="G25" s="1"/>
      <x:c r="H25" s="1"/>
    </x:row>
    <x:row r="26" ht="22" customHeight="1">
      <x:c r="A26" s="1" t="n">
        <x:v>20</x:v>
      </x:c>
      <x:c r="B26" s="11"/>
      <x:c r="C26" s="11"/>
      <x:c r="D26" s="13" t="str">
        <x:f>IF(OR(B26="",C26="",$G$8="",$G$9=""),"",$G$9+$G$8*B26)</x:f>
      </x:c>
      <x:c r="E26" s="13" t="n">
        <x:f>IF(COUNT(B26:C26)=2,1,0)</x:f>
        <x:v>0</x:v>
      </x:c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40" customHeight="1">
      <x:c r="A29" s="6" t="str">
        <x:v>This is a simple descriptive fit, not hold-out validation or causal inference. Use ToolPak Regression for full inferential output; use a train/test split for prediction.</x:v>
      </x:c>
      <x:c r="B29" s="6"/>
      <x:c r="C29" s="6"/>
      <x:c r="D29" s="6"/>
      <x:c r="E29" s="6"/>
      <x:c r="F29" s="6"/>
      <x:c r="G29" s="6"/>
      <x:c r="H29" s="6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A29:H2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One-way ANOVA — create the actual ToolPak output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22" customHeight="1">
      <x:c r="A5" s="1"/>
      <x:c r="B5" s="1"/>
      <x:c r="C5" s="1"/>
      <x:c r="D5" s="1"/>
      <x:c r="E5" s="1"/>
      <x:c r="F5" s="1"/>
      <x:c r="G5" s="1"/>
      <x:c r="H5" s="1"/>
    </x:row>
    <x:row r="6" ht="30" customHeight="1">
      <x:c r="A6" s="5" t="str">
        <x:v>Group A outcome</x:v>
      </x:c>
      <x:c r="B6" s="5" t="str">
        <x:v>Group B outcome</x:v>
      </x:c>
      <x:c r="C6" s="5" t="str">
        <x:v>Group C outcome</x:v>
      </x:c>
      <x:c r="D6" s="1"/>
      <x:c r="E6" s="5" t="str">
        <x:v>Group</x:v>
      </x:c>
      <x:c r="F6" s="5" t="str">
        <x:v>n</x:v>
      </x:c>
      <x:c r="G6" s="5" t="str">
        <x:v>Mean</x:v>
      </x:c>
      <x:c r="H6" s="1"/>
    </x:row>
    <x:row r="7" ht="22" customHeight="1">
      <x:c r="A7" s="11"/>
      <x:c r="B7" s="11"/>
      <x:c r="C7" s="11"/>
      <x:c r="D7" s="1"/>
      <x:c r="E7" s="1" t="str">
        <x:v>A</x:v>
      </x:c>
      <x:c r="F7" s="13" t="n">
        <x:f>COUNT(A7:A26)</x:f>
        <x:v>0</x:v>
      </x:c>
      <x:c r="G7" s="13" t="str">
        <x:f>IF(F7=0,"",AVERAGE(A7:A26))</x:f>
      </x:c>
      <x:c r="H7" s="1"/>
    </x:row>
    <x:row r="8" ht="22" customHeight="1">
      <x:c r="A8" s="11"/>
      <x:c r="B8" s="11"/>
      <x:c r="C8" s="11"/>
      <x:c r="D8" s="1"/>
      <x:c r="E8" s="1" t="str">
        <x:v>B</x:v>
      </x:c>
      <x:c r="F8" s="13" t="n">
        <x:f>COUNT(B7:B26)</x:f>
        <x:v>0</x:v>
      </x:c>
      <x:c r="G8" s="13" t="str">
        <x:f>IF(F8=0,"",AVERAGE(B7:B26))</x:f>
      </x:c>
      <x:c r="H8" s="1"/>
    </x:row>
    <x:row r="9" ht="22" customHeight="1">
      <x:c r="A9" s="11"/>
      <x:c r="B9" s="11"/>
      <x:c r="C9" s="11"/>
      <x:c r="D9" s="1"/>
      <x:c r="E9" s="1" t="str">
        <x:v>C</x:v>
      </x:c>
      <x:c r="F9" s="13" t="n">
        <x:f>COUNT(C7:C26)</x:f>
        <x:v>0</x:v>
      </x:c>
      <x:c r="G9" s="13" t="str">
        <x:f>IF(F9=0,"",AVERAGE(C7:C26))</x:f>
      </x:c>
      <x:c r="H9" s="1"/>
    </x:row>
    <x:row r="10" ht="22" customHeight="1">
      <x:c r="A10" s="11"/>
      <x:c r="B10" s="11"/>
      <x:c r="C10" s="11"/>
      <x:c r="D10" s="1"/>
      <x:c r="E10" s="1"/>
      <x:c r="F10" s="1"/>
      <x:c r="G10" s="1"/>
      <x:c r="H10" s="1"/>
    </x:row>
    <x:row r="11" ht="22" customHeight="1">
      <x:c r="A11" s="11"/>
      <x:c r="B11" s="11"/>
      <x:c r="C11" s="11"/>
      <x:c r="D11" s="1"/>
      <x:c r="E11" s="1"/>
      <x:c r="F11" s="1"/>
      <x:c r="G11" s="1"/>
      <x:c r="H11" s="1"/>
    </x:row>
    <x:row r="12" ht="22" customHeight="1">
      <x:c r="A12" s="11"/>
      <x:c r="B12" s="11"/>
      <x:c r="C12" s="11"/>
      <x:c r="D12" s="1"/>
      <x:c r="E12" s="1"/>
      <x:c r="F12" s="1"/>
      <x:c r="G12" s="1"/>
      <x:c r="H12" s="1"/>
    </x:row>
    <x:row r="13" ht="22" customHeight="1">
      <x:c r="A13" s="11"/>
      <x:c r="B13" s="11"/>
      <x:c r="C13" s="11"/>
      <x:c r="D13" s="1"/>
      <x:c r="E13" s="1"/>
      <x:c r="F13" s="1"/>
      <x:c r="G13" s="1"/>
      <x:c r="H13" s="1"/>
    </x:row>
    <x:row r="14" ht="22" customHeight="1">
      <x:c r="A14" s="11"/>
      <x:c r="B14" s="11"/>
      <x:c r="C14" s="11"/>
      <x:c r="D14" s="1"/>
      <x:c r="E14" s="1"/>
      <x:c r="F14" s="1"/>
      <x:c r="G14" s="1"/>
      <x:c r="H14" s="1"/>
    </x:row>
    <x:row r="15" ht="22" customHeight="1">
      <x:c r="A15" s="11"/>
      <x:c r="B15" s="11"/>
      <x:c r="C15" s="11"/>
      <x:c r="D15" s="1"/>
      <x:c r="E15" s="1"/>
      <x:c r="F15" s="1"/>
      <x:c r="G15" s="1"/>
      <x:c r="H15" s="1"/>
    </x:row>
    <x:row r="16" ht="22" customHeight="1">
      <x:c r="A16" s="11"/>
      <x:c r="B16" s="11"/>
      <x:c r="C16" s="11"/>
      <x:c r="D16" s="1"/>
      <x:c r="E16" s="1"/>
      <x:c r="F16" s="1"/>
      <x:c r="G16" s="1"/>
      <x:c r="H16" s="1"/>
    </x:row>
    <x:row r="17" ht="22" customHeight="1">
      <x:c r="A17" s="11"/>
      <x:c r="B17" s="11"/>
      <x:c r="C17" s="11"/>
      <x:c r="D17" s="1"/>
      <x:c r="E17" s="1"/>
      <x:c r="F17" s="1"/>
      <x:c r="G17" s="1"/>
      <x:c r="H17" s="1"/>
    </x:row>
    <x:row r="18" ht="22" customHeight="1">
      <x:c r="A18" s="11"/>
      <x:c r="B18" s="11"/>
      <x:c r="C18" s="11"/>
      <x:c r="D18" s="1"/>
      <x:c r="E18" s="1"/>
      <x:c r="F18" s="1"/>
      <x:c r="G18" s="1"/>
      <x:c r="H18" s="1"/>
    </x:row>
    <x:row r="19" ht="22" customHeight="1">
      <x:c r="A19" s="11"/>
      <x:c r="B19" s="11"/>
      <x:c r="C19" s="11"/>
      <x:c r="D19" s="1"/>
      <x:c r="E19" s="1"/>
      <x:c r="F19" s="1"/>
      <x:c r="G19" s="1"/>
      <x:c r="H19" s="1"/>
    </x:row>
    <x:row r="20" ht="22" customHeight="1">
      <x:c r="A20" s="11"/>
      <x:c r="B20" s="11"/>
      <x:c r="C20" s="11"/>
      <x:c r="D20" s="1"/>
      <x:c r="E20" s="1"/>
      <x:c r="F20" s="1"/>
      <x:c r="G20" s="1"/>
      <x:c r="H20" s="1"/>
    </x:row>
    <x:row r="21" ht="22" customHeight="1">
      <x:c r="A21" s="11"/>
      <x:c r="B21" s="11"/>
      <x:c r="C21" s="11"/>
      <x:c r="D21" s="1"/>
      <x:c r="E21" s="1"/>
      <x:c r="F21" s="1"/>
      <x:c r="G21" s="1"/>
      <x:c r="H21" s="1"/>
    </x:row>
    <x:row r="22" ht="22" customHeight="1">
      <x:c r="A22" s="11"/>
      <x:c r="B22" s="11"/>
      <x:c r="C22" s="11"/>
      <x:c r="D22" s="1"/>
      <x:c r="E22" s="1"/>
      <x:c r="F22" s="1"/>
      <x:c r="G22" s="1"/>
      <x:c r="H22" s="1"/>
    </x:row>
    <x:row r="23" ht="22" customHeight="1">
      <x:c r="A23" s="11"/>
      <x:c r="B23" s="11"/>
      <x:c r="C23" s="11"/>
      <x:c r="D23" s="1"/>
      <x:c r="E23" s="1"/>
      <x:c r="F23" s="1"/>
      <x:c r="G23" s="1"/>
      <x:c r="H23" s="1"/>
    </x:row>
    <x:row r="24" ht="22" customHeight="1">
      <x:c r="A24" s="11"/>
      <x:c r="B24" s="11"/>
      <x:c r="C24" s="11"/>
      <x:c r="D24" s="1"/>
      <x:c r="E24" s="1"/>
      <x:c r="F24" s="1"/>
      <x:c r="G24" s="1"/>
      <x:c r="H24" s="1"/>
    </x:row>
    <x:row r="25" ht="22" customHeight="1">
      <x:c r="A25" s="11"/>
      <x:c r="B25" s="11"/>
      <x:c r="C25" s="11"/>
      <x:c r="D25" s="1"/>
      <x:c r="E25" s="1"/>
      <x:c r="F25" s="1"/>
      <x:c r="G25" s="1"/>
      <x:c r="H25" s="1"/>
    </x:row>
    <x:row r="26" ht="22" customHeight="1">
      <x:c r="A26" s="11"/>
      <x:c r="B26" s="11"/>
      <x:c r="C26" s="1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40" customHeight="1">
      <x:c r="A29" s="6" t="str">
        <x:v>H0: all group means equal. Use a numeric outcome and genuinely distinct groups. Check independence, residual normality and comparable variances.</x:v>
      </x:c>
      <x:c r="B29" s="6"/>
      <x:c r="C29" s="6"/>
      <x:c r="D29" s="6"/>
      <x:c r="E29" s="6"/>
      <x:c r="F29" s="6"/>
      <x:c r="G29" s="6"/>
      <x:c r="H29" s="6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40" customHeight="1">
      <x:c r="A31" s="6" t="str">
        <x:v>Excel: enable Analysis ToolPak → Data Analysis → ANOVA: Single Factor → grouped by columns, labels in first row. Use A6:C26 or extend to your full data.</x:v>
      </x:c>
      <x:c r="B31" s="6"/>
      <x:c r="C31" s="6"/>
      <x:c r="D31" s="6"/>
      <x:c r="E31" s="6"/>
      <x:c r="F31" s="6"/>
      <x:c r="G31" s="6"/>
      <x:c r="H31" s="6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40" customHeight="1">
      <x:c r="A33" s="6" t="str">
        <x:v>Fill in F, df, p-value and alpha from the actual output, then interpret the overall test. A significant result alone does not identify which pair differs.</x:v>
      </x:c>
      <x:c r="B33" s="6"/>
      <x:c r="C33" s="6"/>
      <x:c r="D33" s="6"/>
      <x:c r="E33" s="6"/>
      <x:c r="F33" s="6"/>
      <x:c r="G33" s="6"/>
      <x:c r="H33" s="6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40" customHeight="1">
      <x:c r="A35" s="6" t="str">
        <x:v>Source: NIST/SEMATECH handbook, one-way ANOVA. Blank output is intentional: this worksheet is a setup guide, not a fabricated ANOVA result.</x:v>
      </x:c>
      <x:c r="B35" s="6"/>
      <x:c r="C35" s="6"/>
      <x:c r="D35" s="6"/>
      <x:c r="E35" s="6"/>
      <x:c r="F35" s="6"/>
      <x:c r="G35" s="6"/>
      <x:c r="H35" s="6"/>
    </x:row>
  </x:sheetData>
  <x:mergeCells>
    <x:mergeCell ref="A29:H29"/>
    <x:mergeCell ref="A31:H31"/>
    <x:mergeCell ref="A33:H33"/>
    <x:mergeCell ref="A35:H3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Cronbach alpha — three same-scale items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22" customHeight="1">
      <x:c r="A5" s="1"/>
      <x:c r="B5" s="1"/>
      <x:c r="C5" s="1"/>
      <x:c r="D5" s="1"/>
      <x:c r="E5" s="1"/>
      <x:c r="F5" s="1"/>
      <x:c r="G5" s="1"/>
      <x:c r="H5" s="1"/>
    </x:row>
    <x:row r="6" ht="30" customHeight="1">
      <x:c r="A6" s="5" t="str">
        <x:v>Respondent</x:v>
      </x:c>
      <x:c r="B6" s="5" t="str">
        <x:v>Item 1</x:v>
      </x:c>
      <x:c r="C6" s="5" t="str">
        <x:v>Item 2</x:v>
      </x:c>
      <x:c r="D6" s="5" t="str">
        <x:v>Item 3</x:v>
      </x:c>
      <x:c r="E6" s="5" t="str">
        <x:v>Total score</x:v>
      </x:c>
      <x:c r="F6" s="1"/>
      <x:c r="G6" s="5" t="str">
        <x:v>Metric</x:v>
      </x:c>
      <x:c r="H6" s="5" t="str">
        <x:v>Calculated</x:v>
      </x:c>
    </x:row>
    <x:row r="7" ht="22" customHeight="1">
      <x:c r="A7" s="1" t="n">
        <x:v>1</x:v>
      </x:c>
      <x:c r="B7" s="11"/>
      <x:c r="C7" s="11"/>
      <x:c r="D7" s="11"/>
      <x:c r="E7" s="13" t="str">
        <x:f>IF(COUNT(B7:D7)&lt;3,"",SUM(B7:D7))</x:f>
      </x:c>
      <x:c r="F7" s="1"/>
      <x:c r="G7" s="1" t="str">
        <x:v>Complete n</x:v>
      </x:c>
      <x:c r="H7" s="13" t="n">
        <x:f>COUNT(E7:E26)</x:f>
        <x:v>0</x:v>
      </x:c>
    </x:row>
    <x:row r="8" ht="22" customHeight="1">
      <x:c r="A8" s="1" t="n">
        <x:v>2</x:v>
      </x:c>
      <x:c r="B8" s="11"/>
      <x:c r="C8" s="11"/>
      <x:c r="D8" s="11"/>
      <x:c r="E8" s="13" t="str">
        <x:f>IF(COUNT(B8:D8)&lt;3,"",SUM(B8:D8))</x:f>
      </x:c>
      <x:c r="F8" s="1"/>
      <x:c r="G8" s="1" t="str">
        <x:v>Item variances sum</x:v>
      </x:c>
      <x:c r="H8" s="13" t="str">
        <x:f>IF(OR(H7&lt;2,H11&lt;&gt;"OK"),"",_xlfn.VAR.S(B7:B26)+_xlfn.VAR.S(C7:C26)+_xlfn.VAR.S(D7:D26))</x:f>
      </x:c>
    </x:row>
    <x:row r="9" ht="22" customHeight="1">
      <x:c r="A9" s="1" t="n">
        <x:v>3</x:v>
      </x:c>
      <x:c r="B9" s="11"/>
      <x:c r="C9" s="11"/>
      <x:c r="D9" s="11"/>
      <x:c r="E9" s="13" t="str">
        <x:f>IF(COUNT(B9:D9)&lt;3,"",SUM(B9:D9))</x:f>
      </x:c>
      <x:c r="F9" s="1"/>
      <x:c r="G9" s="1" t="str">
        <x:v>Total variance</x:v>
      </x:c>
      <x:c r="H9" s="13" t="str">
        <x:f>IF(OR(H7&lt;2,H11&lt;&gt;"OK"),"",_xlfn.VAR.S(E7:E26))</x:f>
      </x:c>
    </x:row>
    <x:row r="10" ht="22" customHeight="1">
      <x:c r="A10" s="1" t="n">
        <x:v>4</x:v>
      </x:c>
      <x:c r="B10" s="11"/>
      <x:c r="C10" s="11"/>
      <x:c r="D10" s="11"/>
      <x:c r="E10" s="13" t="str">
        <x:f>IF(COUNT(B10:D10)&lt;3,"",SUM(B10:D10))</x:f>
      </x:c>
      <x:c r="F10" s="1"/>
      <x:c r="G10" s="1" t="str">
        <x:v>Alpha</x:v>
      </x:c>
      <x:c r="H10" s="13" t="str">
        <x:f>IF(OR(H8="",H9="",H9=0),"",3/2*(1-H8/H9))</x:f>
      </x:c>
    </x:row>
    <x:row r="11" ht="22" customHeight="1">
      <x:c r="A11" s="1" t="n">
        <x:v>5</x:v>
      </x:c>
      <x:c r="B11" s="11"/>
      <x:c r="C11" s="11"/>
      <x:c r="D11" s="11"/>
      <x:c r="E11" s="13" t="str">
        <x:f>IF(COUNT(B11:D11)&lt;3,"",SUM(B11:D11))</x:f>
      </x:c>
      <x:c r="F11" s="1"/>
      <x:c r="G11" s="1" t="str">
        <x:v>Input check</x:v>
      </x:c>
      <x:c r="H11" s="13" t="str">
        <x:f>IF(COUNT(B7:D26)=3*H7,"OK","Complete rows only")</x:f>
        <x:v>OK</x:v>
      </x:c>
    </x:row>
    <x:row r="12" ht="22" customHeight="1">
      <x:c r="A12" s="1" t="n">
        <x:v>6</x:v>
      </x:c>
      <x:c r="B12" s="11"/>
      <x:c r="C12" s="11"/>
      <x:c r="D12" s="11"/>
      <x:c r="E12" s="13" t="str">
        <x:f>IF(COUNT(B12:D12)&lt;3,"",SUM(B12:D12))</x:f>
      </x:c>
      <x:c r="F12" s="1"/>
      <x:c r="G12" s="1"/>
      <x:c r="H12" s="1"/>
    </x:row>
    <x:row r="13" ht="22" customHeight="1">
      <x:c r="A13" s="1" t="n">
        <x:v>7</x:v>
      </x:c>
      <x:c r="B13" s="11"/>
      <x:c r="C13" s="11"/>
      <x:c r="D13" s="11"/>
      <x:c r="E13" s="13" t="str">
        <x:f>IF(COUNT(B13:D13)&lt;3,"",SUM(B13:D13))</x:f>
      </x:c>
      <x:c r="F13" s="1"/>
      <x:c r="G13" s="1"/>
      <x:c r="H13" s="1"/>
    </x:row>
    <x:row r="14" ht="22" customHeight="1">
      <x:c r="A14" s="1" t="n">
        <x:v>8</x:v>
      </x:c>
      <x:c r="B14" s="11"/>
      <x:c r="C14" s="11"/>
      <x:c r="D14" s="11"/>
      <x:c r="E14" s="13" t="str">
        <x:f>IF(COUNT(B14:D14)&lt;3,"",SUM(B14:D14))</x:f>
      </x:c>
      <x:c r="F14" s="1"/>
      <x:c r="G14" s="1"/>
      <x:c r="H14" s="1"/>
    </x:row>
    <x:row r="15" ht="22" customHeight="1">
      <x:c r="A15" s="1" t="n">
        <x:v>9</x:v>
      </x:c>
      <x:c r="B15" s="11"/>
      <x:c r="C15" s="11"/>
      <x:c r="D15" s="11"/>
      <x:c r="E15" s="13" t="str">
        <x:f>IF(COUNT(B15:D15)&lt;3,"",SUM(B15:D15))</x:f>
      </x:c>
      <x:c r="F15" s="1"/>
      <x:c r="G15" s="1"/>
      <x:c r="H15" s="1"/>
    </x:row>
    <x:row r="16" ht="22" customHeight="1">
      <x:c r="A16" s="1" t="n">
        <x:v>10</x:v>
      </x:c>
      <x:c r="B16" s="11"/>
      <x:c r="C16" s="11"/>
      <x:c r="D16" s="11"/>
      <x:c r="E16" s="13" t="str">
        <x:f>IF(COUNT(B16:D16)&lt;3,"",SUM(B16:D16))</x:f>
      </x:c>
      <x:c r="F16" s="1"/>
      <x:c r="G16" s="1"/>
      <x:c r="H16" s="1"/>
    </x:row>
    <x:row r="17" ht="22" customHeight="1">
      <x:c r="A17" s="1" t="n">
        <x:v>11</x:v>
      </x:c>
      <x:c r="B17" s="11"/>
      <x:c r="C17" s="11"/>
      <x:c r="D17" s="11"/>
      <x:c r="E17" s="13" t="str">
        <x:f>IF(COUNT(B17:D17)&lt;3,"",SUM(B17:D17))</x:f>
      </x:c>
      <x:c r="F17" s="1"/>
      <x:c r="G17" s="1"/>
      <x:c r="H17" s="1"/>
    </x:row>
    <x:row r="18" ht="22" customHeight="1">
      <x:c r="A18" s="1" t="n">
        <x:v>12</x:v>
      </x:c>
      <x:c r="B18" s="11"/>
      <x:c r="C18" s="11"/>
      <x:c r="D18" s="11"/>
      <x:c r="E18" s="13" t="str">
        <x:f>IF(COUNT(B18:D18)&lt;3,"",SUM(B18:D18))</x:f>
      </x:c>
      <x:c r="F18" s="1"/>
      <x:c r="G18" s="1"/>
      <x:c r="H18" s="1"/>
    </x:row>
    <x:row r="19" ht="22" customHeight="1">
      <x:c r="A19" s="1" t="n">
        <x:v>13</x:v>
      </x:c>
      <x:c r="B19" s="11"/>
      <x:c r="C19" s="11"/>
      <x:c r="D19" s="11"/>
      <x:c r="E19" s="13" t="str">
        <x:f>IF(COUNT(B19:D19)&lt;3,"",SUM(B19:D19))</x:f>
      </x:c>
      <x:c r="F19" s="1"/>
      <x:c r="G19" s="1"/>
      <x:c r="H19" s="1"/>
    </x:row>
    <x:row r="20" ht="22" customHeight="1">
      <x:c r="A20" s="1" t="n">
        <x:v>14</x:v>
      </x:c>
      <x:c r="B20" s="11"/>
      <x:c r="C20" s="11"/>
      <x:c r="D20" s="11"/>
      <x:c r="E20" s="13" t="str">
        <x:f>IF(COUNT(B20:D20)&lt;3,"",SUM(B20:D20))</x:f>
      </x:c>
      <x:c r="F20" s="1"/>
      <x:c r="G20" s="1"/>
      <x:c r="H20" s="1"/>
    </x:row>
    <x:row r="21" ht="22" customHeight="1">
      <x:c r="A21" s="1" t="n">
        <x:v>15</x:v>
      </x:c>
      <x:c r="B21" s="11"/>
      <x:c r="C21" s="11"/>
      <x:c r="D21" s="11"/>
      <x:c r="E21" s="13" t="str">
        <x:f>IF(COUNT(B21:D21)&lt;3,"",SUM(B21:D21))</x:f>
      </x:c>
      <x:c r="F21" s="1"/>
      <x:c r="G21" s="1"/>
      <x:c r="H21" s="1"/>
    </x:row>
    <x:row r="22" ht="22" customHeight="1">
      <x:c r="A22" s="1" t="n">
        <x:v>16</x:v>
      </x:c>
      <x:c r="B22" s="11"/>
      <x:c r="C22" s="11"/>
      <x:c r="D22" s="11"/>
      <x:c r="E22" s="13" t="str">
        <x:f>IF(COUNT(B22:D22)&lt;3,"",SUM(B22:D22))</x:f>
      </x:c>
      <x:c r="F22" s="1"/>
      <x:c r="G22" s="1"/>
      <x:c r="H22" s="1"/>
    </x:row>
    <x:row r="23" ht="22" customHeight="1">
      <x:c r="A23" s="1" t="n">
        <x:v>17</x:v>
      </x:c>
      <x:c r="B23" s="11"/>
      <x:c r="C23" s="11"/>
      <x:c r="D23" s="11"/>
      <x:c r="E23" s="13" t="str">
        <x:f>IF(COUNT(B23:D23)&lt;3,"",SUM(B23:D23))</x:f>
      </x:c>
      <x:c r="F23" s="1"/>
      <x:c r="G23" s="1"/>
      <x:c r="H23" s="1"/>
    </x:row>
    <x:row r="24" ht="22" customHeight="1">
      <x:c r="A24" s="1" t="n">
        <x:v>18</x:v>
      </x:c>
      <x:c r="B24" s="11"/>
      <x:c r="C24" s="11"/>
      <x:c r="D24" s="11"/>
      <x:c r="E24" s="13" t="str">
        <x:f>IF(COUNT(B24:D24)&lt;3,"",SUM(B24:D24))</x:f>
      </x:c>
      <x:c r="F24" s="1"/>
      <x:c r="G24" s="1"/>
      <x:c r="H24" s="1"/>
    </x:row>
    <x:row r="25" ht="22" customHeight="1">
      <x:c r="A25" s="1" t="n">
        <x:v>19</x:v>
      </x:c>
      <x:c r="B25" s="11"/>
      <x:c r="C25" s="11"/>
      <x:c r="D25" s="11"/>
      <x:c r="E25" s="13" t="str">
        <x:f>IF(COUNT(B25:D25)&lt;3,"",SUM(B25:D25))</x:f>
      </x:c>
      <x:c r="F25" s="1"/>
      <x:c r="G25" s="1"/>
      <x:c r="H25" s="1"/>
    </x:row>
    <x:row r="26" ht="22" customHeight="1">
      <x:c r="A26" s="1" t="n">
        <x:v>20</x:v>
      </x:c>
      <x:c r="B26" s="11"/>
      <x:c r="C26" s="11"/>
      <x:c r="D26" s="11"/>
      <x:c r="E26" s="13" t="str">
        <x:f>IF(COUNT(B26:D26)&lt;3,"",SUM(B26:D26))</x:f>
      </x:c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40" customHeight="1">
      <x:c r="A29" s="6" t="str">
        <x:v>Use complete rows across ALL items. Reverse-code opposite-worded items first. This file is for k=3; for more items update both the total and the k/(k−1) factor.</x:v>
      </x:c>
      <x:c r="B29" s="6"/>
      <x:c r="C29" s="6"/>
      <x:c r="D29" s="6"/>
      <x:c r="E29" s="6"/>
      <x:c r="F29" s="6"/>
      <x:c r="G29" s="6"/>
      <x:c r="H29" s="6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40" customHeight="1">
      <x:c r="A31" s="6" t="str">
        <x:v>Alpha describes internal consistency; it does not prove validity or unidimensionality. Sources: Cronbach (1951), DOI 10.1007/BF02310555; Sijtsma (2009), DOI 10.1007/s11336-008-9101-0.</x:v>
      </x:c>
      <x:c r="B31" s="6"/>
      <x:c r="C31" s="6"/>
      <x:c r="D31" s="6"/>
      <x:c r="E31" s="6"/>
      <x:c r="F31" s="6"/>
      <x:c r="G31" s="6"/>
      <x:c r="H31" s="6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A29:H29"/>
    <x:mergeCell ref="A31:H3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Confusion matrix and classification metrics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22" customHeight="1">
      <x:c r="A5" s="1"/>
      <x:c r="B5" s="1"/>
      <x:c r="C5" s="1"/>
      <x:c r="D5" s="1"/>
      <x:c r="E5" s="1"/>
      <x:c r="F5" s="1"/>
      <x:c r="G5" s="1"/>
      <x:c r="H5" s="1"/>
    </x:row>
    <x:row r="6" ht="30" customHeight="1">
      <x:c r="A6" s="5" t="str">
        <x:v>Input</x:v>
      </x:c>
      <x:c r="B6" s="5" t="str">
        <x:v>Count</x:v>
      </x:c>
      <x:c r="C6" s="5" t="str">
        <x:v>Definition</x:v>
      </x:c>
      <x:c r="D6" s="1"/>
      <x:c r="E6" s="5" t="str">
        <x:v>Metric</x:v>
      </x:c>
      <x:c r="F6" s="5" t="str">
        <x:v>Calculated</x:v>
      </x:c>
      <x:c r="G6" s="1"/>
      <x:c r="H6" s="1"/>
    </x:row>
    <x:row r="7" ht="22" customHeight="1">
      <x:c r="A7" s="1" t="str">
        <x:v>TP</x:v>
      </x:c>
      <x:c r="B7" s="11"/>
      <x:c r="C7" s="1" t="str">
        <x:v>Predicted positive, actual positive</x:v>
      </x:c>
      <x:c r="D7" s="1"/>
      <x:c r="E7" s="1" t="str">
        <x:v>n</x:v>
      </x:c>
      <x:c r="F7" s="13" t="str">
        <x:f>IF(OR(COUNT(B7:B10)&lt;4,MIN(B7:B10)&lt;0),"",SUM(B7:B10))</x:f>
      </x:c>
      <x:c r="G7" s="1"/>
      <x:c r="H7" s="1"/>
    </x:row>
    <x:row r="8" ht="22" customHeight="1">
      <x:c r="A8" s="1" t="str">
        <x:v>FP</x:v>
      </x:c>
      <x:c r="B8" s="11"/>
      <x:c r="C8" s="1" t="str">
        <x:v>Predicted positive, actual negative</x:v>
      </x:c>
      <x:c r="D8" s="1"/>
      <x:c r="E8" s="1" t="str">
        <x:v>Accuracy</x:v>
      </x:c>
      <x:c r="F8" s="15" t="str">
        <x:f>IF(OR(F7="",F7=0),"",(B7+B10)/F7)</x:f>
      </x:c>
      <x:c r="G8" s="1"/>
      <x:c r="H8" s="1"/>
    </x:row>
    <x:row r="9" ht="22" customHeight="1">
      <x:c r="A9" s="1" t="str">
        <x:v>FN</x:v>
      </x:c>
      <x:c r="B9" s="11"/>
      <x:c r="C9" s="1" t="str">
        <x:v>Predicted negative, actual positive</x:v>
      </x:c>
      <x:c r="D9" s="1"/>
      <x:c r="E9" s="1" t="str">
        <x:v>Precision</x:v>
      </x:c>
      <x:c r="F9" s="15" t="str">
        <x:f>IF(OR(F7="",B7+B8=0),"",B7/(B7+B8))</x:f>
      </x:c>
      <x:c r="G9" s="1"/>
      <x:c r="H9" s="1"/>
    </x:row>
    <x:row r="10" ht="22" customHeight="1">
      <x:c r="A10" s="1" t="str">
        <x:v>TN</x:v>
      </x:c>
      <x:c r="B10" s="11"/>
      <x:c r="C10" s="1" t="str">
        <x:v>Predicted negative, actual negative</x:v>
      </x:c>
      <x:c r="D10" s="1"/>
      <x:c r="E10" s="1" t="str">
        <x:v>Recall</x:v>
      </x:c>
      <x:c r="F10" s="15" t="str">
        <x:f>IF(OR(F7="",B7+B9=0),"",B7/(B7+B9))</x:f>
      </x:c>
      <x:c r="G10" s="1"/>
      <x:c r="H10" s="1"/>
    </x:row>
    <x:row r="11" ht="22" customHeight="1">
      <x:c r="A11" s="1"/>
      <x:c r="B11" s="1"/>
      <x:c r="C11" s="1"/>
      <x:c r="D11" s="1"/>
      <x:c r="E11" s="1" t="str">
        <x:v>F1</x:v>
      </x:c>
      <x:c r="F11" s="15" t="str">
        <x:f>IF(OR(F7="",2*B7+B8+B9=0),"",2*B7/(2*B7+B8+B9))</x:f>
      </x:c>
      <x:c r="G11" s="1"/>
      <x:c r="H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</x:row>
    <x:row r="15" ht="40" customHeight="1">
      <x:c r="A15" s="6" t="str">
        <x:v>Declare the positive class and decision threshold. Metrics need held-out data for predictive evaluation. Empty/undefined ratios stay blank, not zero.</x:v>
      </x:c>
      <x:c r="B15" s="6"/>
      <x:c r="C15" s="6"/>
      <x:c r="D15" s="6"/>
      <x:c r="E15" s="6"/>
      <x:c r="F15" s="6"/>
      <x:c r="G15" s="6"/>
      <x:c r="H15" s="6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A15:H1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Conditional revenue scenarios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22" customHeight="1">
      <x:c r="A5" s="1"/>
      <x:c r="B5" s="1"/>
      <x:c r="C5" s="1"/>
      <x:c r="D5" s="1"/>
      <x:c r="E5" s="1"/>
      <x:c r="F5" s="1"/>
      <x:c r="G5" s="1"/>
      <x:c r="H5" s="1"/>
    </x:row>
    <x:row r="6" ht="30" customHeight="1">
      <x:c r="A6" s="5" t="str">
        <x:v>Baseline input</x:v>
      </x:c>
      <x:c r="B6" s="5" t="str">
        <x:v>Value</x:v>
      </x:c>
      <x:c r="C6" s="1"/>
      <x:c r="D6" s="1"/>
      <x:c r="E6" s="1"/>
      <x:c r="F6" s="1"/>
      <x:c r="G6" s="1"/>
      <x:c r="H6" s="1"/>
    </x:row>
    <x:row r="7" ht="22" customHeight="1">
      <x:c r="A7" s="1" t="str">
        <x:v>Units</x:v>
      </x:c>
      <x:c r="B7" s="11"/>
      <x:c r="C7" s="1"/>
      <x:c r="D7" s="1"/>
      <x:c r="E7" s="1"/>
      <x:c r="F7" s="1"/>
      <x:c r="G7" s="1"/>
      <x:c r="H7" s="1"/>
    </x:row>
    <x:row r="8" ht="22" customHeight="1">
      <x:c r="A8" s="1" t="str">
        <x:v>Price per unit</x:v>
      </x:c>
      <x:c r="B8" s="11"/>
      <x:c r="C8" s="1"/>
      <x:c r="D8" s="1"/>
      <x:c r="E8" s="1"/>
      <x:c r="F8" s="1"/>
      <x:c r="G8" s="1"/>
      <x:c r="H8" s="1"/>
    </x:row>
    <x:row r="9" ht="22" customHeight="1">
      <x:c r="A9" s="1"/>
      <x:c r="B9" s="1"/>
      <x:c r="C9" s="1"/>
      <x:c r="D9" s="1"/>
      <x:c r="E9" s="1"/>
      <x:c r="F9" s="1"/>
      <x:c r="G9" s="1"/>
      <x:c r="H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</x:row>
    <x:row r="11" ht="30" customHeight="1">
      <x:c r="A11" s="5" t="str">
        <x:v>Scenario</x:v>
      </x:c>
      <x:c r="B11" s="5" t="str">
        <x:v>Volume change</x:v>
      </x:c>
      <x:c r="C11" s="5" t="str">
        <x:v>Price change</x:v>
      </x:c>
      <x:c r="D11" s="5" t="str">
        <x:v>Revenue</x:v>
      </x:c>
      <x:c r="E11" s="1"/>
      <x:c r="F11" s="1"/>
      <x:c r="G11" s="1"/>
      <x:c r="H11" s="1"/>
    </x:row>
    <x:row r="12" ht="22" customHeight="1">
      <x:c r="A12" s="1" t="str">
        <x:v>Base</x:v>
      </x:c>
      <x:c r="B12" s="15" t="n">
        <x:v>0</x:v>
      </x:c>
      <x:c r="C12" s="15" t="n">
        <x:v>0</x:v>
      </x:c>
      <x:c r="D12" s="13" t="str">
        <x:f>IF(OR(COUNT($B$7:$B$8)&lt;2,COUNT(B12:C12)&lt;2,B12&lt;-1,C12&lt;-1),"",$B$7*(1+B12)*$B$8*(1+C12))</x:f>
      </x:c>
      <x:c r="E12" s="1"/>
      <x:c r="F12" s="1"/>
      <x:c r="G12" s="1"/>
      <x:c r="H12" s="1"/>
    </x:row>
    <x:row r="13" ht="22" customHeight="1">
      <x:c r="A13" s="1" t="str">
        <x:v>Favourable</x:v>
      </x:c>
      <x:c r="B13" s="14"/>
      <x:c r="C13" s="14"/>
      <x:c r="D13" s="13" t="str">
        <x:f>IF(OR(COUNT($B$7:$B$8)&lt;2,COUNT(B13:C13)&lt;2,B13&lt;-1,C13&lt;-1),"",$B$7*(1+B13)*$B$8*(1+C13))</x:f>
      </x:c>
      <x:c r="E13" s="1"/>
      <x:c r="F13" s="1"/>
      <x:c r="G13" s="1"/>
      <x:c r="H13" s="1"/>
    </x:row>
    <x:row r="14" ht="22" customHeight="1">
      <x:c r="A14" s="1" t="str">
        <x:v>Adverse</x:v>
      </x:c>
      <x:c r="B14" s="14"/>
      <x:c r="C14" s="14"/>
      <x:c r="D14" s="13" t="str">
        <x:f>IF(OR(COUNT($B$7:$B$8)&lt;2,COUNT(B14:C14)&lt;2,B14&lt;-1,C14&lt;-1),"",$B$7*(1+B14)*$B$8*(1+C14))</x:f>
      </x:c>
      <x:c r="E14" s="1"/>
      <x:c r="F14" s="1"/>
      <x:c r="G14" s="1"/>
      <x:c r="H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</x:row>
    <x:row r="18" ht="40" customHeight="1">
      <x:c r="A18" s="6" t="str">
        <x:v>Explain why each input change is plausible. This simple revenue scenario excludes price elasticity and costs; it is not a confidence interval or a profit model.</x:v>
      </x:c>
      <x:c r="B18" s="6"/>
      <x:c r="C18" s="6"/>
      <x:c r="D18" s="6"/>
      <x:c r="E18" s="6"/>
      <x:c r="F18" s="6"/>
      <x:c r="G18" s="6"/>
      <x:c r="H18" s="6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A18:H18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Explicit time horizon and cash flows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22" customHeight="1">
      <x:c r="A5" s="1"/>
      <x:c r="B5" s="1"/>
      <x:c r="C5" s="1"/>
      <x:c r="D5" s="1"/>
      <x:c r="E5" s="1"/>
      <x:c r="F5" s="1"/>
      <x:c r="G5" s="1"/>
      <x:c r="H5" s="1"/>
    </x:row>
    <x:row r="6" ht="30" customHeight="1">
      <x:c r="A6" s="5" t="str">
        <x:v>Input</x:v>
      </x:c>
      <x:c r="B6" s="5" t="str">
        <x:v>Value</x:v>
      </x:c>
      <x:c r="C6" s="5" t="str">
        <x:v>Unit</x:v>
      </x:c>
      <x:c r="D6" s="1"/>
      <x:c r="E6" s="5" t="str">
        <x:v>Output</x:v>
      </x:c>
      <x:c r="F6" s="5" t="str">
        <x:v>Calculated</x:v>
      </x:c>
      <x:c r="G6" s="1"/>
      <x:c r="H6" s="1"/>
    </x:row>
    <x:row r="7" ht="22" customHeight="1">
      <x:c r="A7" s="1" t="str">
        <x:v>Rate per period</x:v>
      </x:c>
      <x:c r="B7" s="14"/>
      <x:c r="C7" s="1" t="str">
        <x:v>Decimal; same period as cash flows</x:v>
      </x:c>
      <x:c r="D7" s="1"/>
      <x:c r="E7" s="1" t="str">
        <x:v>FV of present amount</x:v>
      </x:c>
      <x:c r="F7" s="13" t="str">
        <x:f>IF(OR(COUNT(B7:B9)&lt;3,B7&lt;=-1,B8&lt;0),"",B9*(1+B7)^B8)</x:f>
      </x:c>
      <x:c r="G7" s="1"/>
      <x:c r="H7" s="1"/>
    </x:row>
    <x:row r="8" ht="22" customHeight="1">
      <x:c r="A8" s="1" t="str">
        <x:v>Number of periods</x:v>
      </x:c>
      <x:c r="B8" s="11"/>
      <x:c r="C8" s="1" t="str">
        <x:v>Positive integer</x:v>
      </x:c>
      <x:c r="D8" s="1"/>
      <x:c r="E8" s="1" t="str">
        <x:v>PV of future amount</x:v>
      </x:c>
      <x:c r="F8" s="13" t="str">
        <x:f>IF(OR(COUNT(B7:B8,B10)&lt;3,B7&lt;=-1,B8&lt;0),"",B10/(1+B7)^B8)</x:f>
      </x:c>
      <x:c r="G8" s="1"/>
      <x:c r="H8" s="1"/>
    </x:row>
    <x:row r="9" ht="22" customHeight="1">
      <x:c r="A9" s="1" t="str">
        <x:v>Present amount</x:v>
      </x:c>
      <x:c r="B9" s="11"/>
      <x:c r="C9" s="1" t="str">
        <x:v>Currency</x:v>
      </x:c>
      <x:c r="D9" s="1"/>
      <x:c r="E9" s="1" t="str">
        <x:v>12-period receipts PV</x:v>
      </x:c>
      <x:c r="F9" s="13" t="str">
        <x:f>IF(OR(NOT(ISNUMBER(B7)),B7&lt;=-1,COUNT(B15:B26)&lt;12),"",NPV(B7,B15:B26))</x:f>
      </x:c>
      <x:c r="G9" s="1"/>
      <x:c r="H9" s="1"/>
    </x:row>
    <x:row r="10" ht="22" customHeight="1">
      <x:c r="A10" s="1" t="str">
        <x:v>Future amount</x:v>
      </x:c>
      <x:c r="B10" s="11"/>
      <x:c r="C10" s="1" t="str">
        <x:v>Currency</x:v>
      </x:c>
      <x:c r="D10" s="1"/>
      <x:c r="E10" s="1" t="str">
        <x:v>12-period project NPV</x:v>
      </x:c>
      <x:c r="F10" s="13" t="str">
        <x:f>IF(OR(F9="",NOT(ISNUMBER(B11))),"",F9-B11)</x:f>
      </x:c>
      <x:c r="G10" s="1"/>
      <x:c r="H10" s="1"/>
    </x:row>
    <x:row r="11" ht="22" customHeight="1">
      <x:c r="A11" s="1" t="str">
        <x:v>Initial outlay at t=0</x:v>
      </x:c>
      <x:c r="B11" s="11"/>
      <x:c r="C11" s="1" t="str">
        <x:v>Positive currency outflow</x:v>
      </x:c>
      <x:c r="D11" s="1"/>
      <x:c r="E11" s="1"/>
      <x:c r="F11" s="1"/>
      <x:c r="G11" s="1"/>
      <x:c r="H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</x:row>
    <x:row r="14" ht="30" customHeight="1">
      <x:c r="A14" s="5" t="str">
        <x:v>Period</x:v>
      </x:c>
      <x:c r="B14" s="5" t="str">
        <x:v>Net cash flow at period end</x:v>
      </x:c>
      <x:c r="C14" s="1"/>
      <x:c r="D14" s="1"/>
      <x:c r="E14" s="1"/>
      <x:c r="F14" s="1"/>
      <x:c r="G14" s="1"/>
      <x:c r="H14" s="1"/>
    </x:row>
    <x:row r="15" ht="22" customHeight="1">
      <x:c r="A15" s="1" t="n">
        <x:v>1</x:v>
      </x:c>
      <x:c r="B15" s="11"/>
      <x:c r="C15" s="1"/>
      <x:c r="D15" s="1"/>
      <x:c r="E15" s="1"/>
      <x:c r="F15" s="1"/>
      <x:c r="G15" s="1"/>
      <x:c r="H15" s="1"/>
    </x:row>
    <x:row r="16" ht="22" customHeight="1">
      <x:c r="A16" s="1" t="n">
        <x:v>2</x:v>
      </x:c>
      <x:c r="B16" s="11"/>
      <x:c r="C16" s="1"/>
      <x:c r="D16" s="1"/>
      <x:c r="E16" s="1"/>
      <x:c r="F16" s="1"/>
      <x:c r="G16" s="1"/>
      <x:c r="H16" s="1"/>
    </x:row>
    <x:row r="17" ht="22" customHeight="1">
      <x:c r="A17" s="1" t="n">
        <x:v>3</x:v>
      </x:c>
      <x:c r="B17" s="11"/>
      <x:c r="C17" s="1"/>
      <x:c r="D17" s="1"/>
      <x:c r="E17" s="1"/>
      <x:c r="F17" s="1"/>
      <x:c r="G17" s="1"/>
      <x:c r="H17" s="1"/>
    </x:row>
    <x:row r="18" ht="22" customHeight="1">
      <x:c r="A18" s="1" t="n">
        <x:v>4</x:v>
      </x:c>
      <x:c r="B18" s="11"/>
      <x:c r="C18" s="1"/>
      <x:c r="D18" s="1"/>
      <x:c r="E18" s="1"/>
      <x:c r="F18" s="1"/>
      <x:c r="G18" s="1"/>
      <x:c r="H18" s="1"/>
    </x:row>
    <x:row r="19" ht="22" customHeight="1">
      <x:c r="A19" s="1" t="n">
        <x:v>5</x:v>
      </x:c>
      <x:c r="B19" s="11"/>
      <x:c r="C19" s="1"/>
      <x:c r="D19" s="1"/>
      <x:c r="E19" s="1"/>
      <x:c r="F19" s="1"/>
      <x:c r="G19" s="1"/>
      <x:c r="H19" s="1"/>
    </x:row>
    <x:row r="20" ht="22" customHeight="1">
      <x:c r="A20" s="1" t="n">
        <x:v>6</x:v>
      </x:c>
      <x:c r="B20" s="11"/>
      <x:c r="C20" s="1"/>
      <x:c r="D20" s="1"/>
      <x:c r="E20" s="1"/>
      <x:c r="F20" s="1"/>
      <x:c r="G20" s="1"/>
      <x:c r="H20" s="1"/>
    </x:row>
    <x:row r="21" ht="22" customHeight="1">
      <x:c r="A21" s="1" t="n">
        <x:v>7</x:v>
      </x:c>
      <x:c r="B21" s="11"/>
      <x:c r="C21" s="1"/>
      <x:c r="D21" s="1"/>
      <x:c r="E21" s="1"/>
      <x:c r="F21" s="1"/>
      <x:c r="G21" s="1"/>
      <x:c r="H21" s="1"/>
    </x:row>
    <x:row r="22" ht="22" customHeight="1">
      <x:c r="A22" s="1" t="n">
        <x:v>8</x:v>
      </x:c>
      <x:c r="B22" s="11"/>
      <x:c r="C22" s="1"/>
      <x:c r="D22" s="1"/>
      <x:c r="E22" s="1"/>
      <x:c r="F22" s="1"/>
      <x:c r="G22" s="1"/>
      <x:c r="H22" s="1"/>
    </x:row>
    <x:row r="23" ht="22" customHeight="1">
      <x:c r="A23" s="1" t="n">
        <x:v>9</x:v>
      </x:c>
      <x:c r="B23" s="11"/>
      <x:c r="C23" s="1"/>
      <x:c r="D23" s="1"/>
      <x:c r="E23" s="1"/>
      <x:c r="F23" s="1"/>
      <x:c r="G23" s="1"/>
      <x:c r="H23" s="1"/>
    </x:row>
    <x:row r="24" ht="22" customHeight="1">
      <x:c r="A24" s="1" t="n">
        <x:v>10</x:v>
      </x:c>
      <x:c r="B24" s="11"/>
      <x:c r="C24" s="1"/>
      <x:c r="D24" s="1"/>
      <x:c r="E24" s="1"/>
      <x:c r="F24" s="1"/>
      <x:c r="G24" s="1"/>
      <x:c r="H24" s="1"/>
    </x:row>
    <x:row r="25" ht="22" customHeight="1">
      <x:c r="A25" s="1" t="n">
        <x:v>11</x:v>
      </x:c>
      <x:c r="B25" s="11"/>
      <x:c r="C25" s="1"/>
      <x:c r="D25" s="1"/>
      <x:c r="E25" s="1"/>
      <x:c r="F25" s="1"/>
      <x:c r="G25" s="1"/>
      <x:c r="H25" s="1"/>
    </x:row>
    <x:row r="26" ht="22" customHeight="1">
      <x:c r="A26" s="1" t="n">
        <x:v>12</x:v>
      </x:c>
      <x:c r="B26" s="1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40" customHeight="1">
      <x:c r="A29" s="6" t="str">
        <x:v>5% annual rate is not 5% monthly. Declare the period and convert consistently. GrossIncome receipts alone omit project costs; do not label them full NPV without this caveat.</x:v>
      </x:c>
      <x:c r="B29" s="6"/>
      <x:c r="C29" s="6"/>
      <x:c r="D29" s="6"/>
      <x:c r="E29" s="6"/>
      <x:c r="F29" s="6"/>
      <x:c r="G29" s="6"/>
      <x:c r="H29" s="6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A29:H29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Quality checks and documented corrections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22" customHeight="1">
      <x:c r="A5" s="1"/>
      <x:c r="B5" s="1"/>
      <x:c r="C5" s="1"/>
      <x:c r="D5" s="1"/>
      <x:c r="E5" s="1"/>
      <x:c r="F5" s="1"/>
      <x:c r="G5" s="1"/>
      <x:c r="H5" s="1"/>
    </x:row>
    <x:row r="6" ht="30" customHeight="1">
      <x:c r="A6" s="5" t="str">
        <x:v>Field / row</x:v>
      </x:c>
      <x:c r="B6" s="5" t="str">
        <x:v>Issue</x:v>
      </x:c>
      <x:c r="C6" s="5" t="str">
        <x:v>Before</x:v>
      </x:c>
      <x:c r="D6" s="5" t="str">
        <x:v>Rule / reason</x:v>
      </x:c>
      <x:c r="E6" s="5" t="str">
        <x:v>After</x:v>
      </x:c>
      <x:c r="F6" s="5" t="str">
        <x:v>Rows affected</x:v>
      </x:c>
      <x:c r="G6" s="5" t="str">
        <x:v>Recheck</x:v>
      </x:c>
      <x:c r="H6" s="5" t="str">
        <x:v>Version</x:v>
      </x:c>
    </x:row>
    <x:row r="7" ht="35" customHeight="1">
      <x:c r="A7" s="16"/>
      <x:c r="B7" s="16"/>
      <x:c r="C7" s="16"/>
      <x:c r="D7" s="16"/>
      <x:c r="E7" s="16"/>
      <x:c r="F7" s="16"/>
      <x:c r="G7" s="16"/>
      <x:c r="H7" s="16"/>
    </x:row>
    <x:row r="8" ht="35" customHeight="1">
      <x:c r="A8" s="16"/>
      <x:c r="B8" s="16"/>
      <x:c r="C8" s="16"/>
      <x:c r="D8" s="16"/>
      <x:c r="E8" s="16"/>
      <x:c r="F8" s="16"/>
      <x:c r="G8" s="16"/>
      <x:c r="H8" s="16"/>
    </x:row>
    <x:row r="9" ht="35" customHeight="1">
      <x:c r="A9" s="16"/>
      <x:c r="B9" s="16"/>
      <x:c r="C9" s="16"/>
      <x:c r="D9" s="16"/>
      <x:c r="E9" s="16"/>
      <x:c r="F9" s="16"/>
      <x:c r="G9" s="16"/>
      <x:c r="H9" s="16"/>
    </x:row>
    <x:row r="10" ht="35" customHeight="1">
      <x:c r="A10" s="16"/>
      <x:c r="B10" s="16"/>
      <x:c r="C10" s="16"/>
      <x:c r="D10" s="16"/>
      <x:c r="E10" s="16"/>
      <x:c r="F10" s="16"/>
      <x:c r="G10" s="16"/>
      <x:c r="H10" s="16"/>
    </x:row>
    <x:row r="11" ht="35" customHeight="1">
      <x:c r="A11" s="16"/>
      <x:c r="B11" s="16"/>
      <x:c r="C11" s="16"/>
      <x:c r="D11" s="16"/>
      <x:c r="E11" s="16"/>
      <x:c r="F11" s="16"/>
      <x:c r="G11" s="16"/>
      <x:c r="H11" s="16"/>
    </x:row>
    <x:row r="12" ht="35" customHeight="1">
      <x:c r="A12" s="16"/>
      <x:c r="B12" s="16"/>
      <x:c r="C12" s="16"/>
      <x:c r="D12" s="16"/>
      <x:c r="E12" s="16"/>
      <x:c r="F12" s="16"/>
      <x:c r="G12" s="16"/>
      <x:c r="H12" s="16"/>
    </x:row>
    <x:row r="13" ht="35" customHeight="1">
      <x:c r="A13" s="16"/>
      <x:c r="B13" s="16"/>
      <x:c r="C13" s="16"/>
      <x:c r="D13" s="16"/>
      <x:c r="E13" s="16"/>
      <x:c r="F13" s="16"/>
      <x:c r="G13" s="16"/>
      <x:c r="H13" s="16"/>
    </x:row>
    <x:row r="14" ht="35" customHeight="1">
      <x:c r="A14" s="16"/>
      <x:c r="B14" s="16"/>
      <x:c r="C14" s="16"/>
      <x:c r="D14" s="16"/>
      <x:c r="E14" s="16"/>
      <x:c r="F14" s="16"/>
      <x:c r="G14" s="16"/>
      <x:c r="H14" s="16"/>
    </x:row>
    <x:row r="15" ht="35" customHeight="1">
      <x:c r="A15" s="16"/>
      <x:c r="B15" s="16"/>
      <x:c r="C15" s="16"/>
      <x:c r="D15" s="16"/>
      <x:c r="E15" s="16"/>
      <x:c r="F15" s="16"/>
      <x:c r="G15" s="16"/>
      <x:c r="H15" s="16"/>
    </x:row>
    <x:row r="16" ht="35" customHeight="1">
      <x:c r="A16" s="16"/>
      <x:c r="B16" s="16"/>
      <x:c r="C16" s="16"/>
      <x:c r="D16" s="16"/>
      <x:c r="E16" s="16"/>
      <x:c r="F16" s="16"/>
      <x:c r="G16" s="16"/>
      <x:c r="H16" s="16"/>
    </x:row>
    <x:row r="17" ht="35" customHeight="1">
      <x:c r="A17" s="16"/>
      <x:c r="B17" s="16"/>
      <x:c r="C17" s="16"/>
      <x:c r="D17" s="16"/>
      <x:c r="E17" s="16"/>
      <x:c r="F17" s="16"/>
      <x:c r="G17" s="16"/>
      <x:c r="H17" s="16"/>
    </x:row>
    <x:row r="18" ht="35" customHeight="1">
      <x:c r="A18" s="16"/>
      <x:c r="B18" s="16"/>
      <x:c r="C18" s="16"/>
      <x:c r="D18" s="16"/>
      <x:c r="E18" s="16"/>
      <x:c r="F18" s="16"/>
      <x:c r="G18" s="16"/>
      <x:c r="H18" s="16"/>
    </x:row>
    <x:row r="19" ht="35" customHeight="1">
      <x:c r="A19" s="16"/>
      <x:c r="B19" s="16"/>
      <x:c r="C19" s="16"/>
      <x:c r="D19" s="16"/>
      <x:c r="E19" s="16"/>
      <x:c r="F19" s="16"/>
      <x:c r="G19" s="16"/>
      <x:c r="H19" s="16"/>
    </x:row>
    <x:row r="20" ht="35" customHeight="1">
      <x:c r="A20" s="16"/>
      <x:c r="B20" s="16"/>
      <x:c r="C20" s="16"/>
      <x:c r="D20" s="16"/>
      <x:c r="E20" s="16"/>
      <x:c r="F20" s="16"/>
      <x:c r="G20" s="16"/>
      <x:c r="H20" s="16"/>
    </x:row>
    <x:row r="21" ht="35" customHeight="1">
      <x:c r="A21" s="16"/>
      <x:c r="B21" s="16"/>
      <x:c r="C21" s="16"/>
      <x:c r="D21" s="16"/>
      <x:c r="E21" s="16"/>
      <x:c r="F21" s="16"/>
      <x:c r="G21" s="16"/>
      <x:c r="H21" s="16"/>
    </x:row>
    <x:row r="22" ht="35" customHeight="1">
      <x:c r="A22" s="16"/>
      <x:c r="B22" s="16"/>
      <x:c r="C22" s="16"/>
      <x:c r="D22" s="16"/>
      <x:c r="E22" s="16"/>
      <x:c r="F22" s="16"/>
      <x:c r="G22" s="16"/>
      <x:c r="H22" s="16"/>
    </x:row>
    <x:row r="23" ht="35" customHeight="1">
      <x:c r="A23" s="16"/>
      <x:c r="B23" s="16"/>
      <x:c r="C23" s="16"/>
      <x:c r="D23" s="16"/>
      <x:c r="E23" s="16"/>
      <x:c r="F23" s="16"/>
      <x:c r="G23" s="16"/>
      <x:c r="H23" s="16"/>
    </x:row>
    <x:row r="24" ht="35" customHeight="1">
      <x:c r="A24" s="16"/>
      <x:c r="B24" s="16"/>
      <x:c r="C24" s="16"/>
      <x:c r="D24" s="16"/>
      <x:c r="E24" s="16"/>
      <x:c r="F24" s="16"/>
      <x:c r="G24" s="16"/>
      <x:c r="H24" s="16"/>
    </x:row>
    <x:row r="25" ht="35" customHeight="1">
      <x:c r="A25" s="16"/>
      <x:c r="B25" s="16"/>
      <x:c r="C25" s="16"/>
      <x:c r="D25" s="16"/>
      <x:c r="E25" s="16"/>
      <x:c r="F25" s="16"/>
      <x:c r="G25" s="16"/>
      <x:c r="H25" s="16"/>
    </x:row>
    <x:row r="26" ht="35" customHeight="1">
      <x:c r="A26" s="16"/>
      <x:c r="B26" s="16"/>
      <x:c r="C26" s="16"/>
      <x:c r="D26" s="16"/>
      <x:c r="E26" s="16"/>
      <x:c r="F26" s="16"/>
      <x:c r="G26" s="16"/>
      <x:c r="H26" s="16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40" customHeight="1">
      <x:c r="A29" s="6" t="str">
        <x:v>Preserve Raw. Log verified errors separately from legitimate outliers. Reconcile row counts and totals after cleaning; document exclusions and missing-data choices.</x:v>
      </x:c>
      <x:c r="B29" s="6"/>
      <x:c r="C29" s="6"/>
      <x:c r="D29" s="6"/>
      <x:c r="E29" s="6"/>
      <x:c r="F29" s="6"/>
      <x:c r="G29" s="6"/>
      <x:c r="H29" s="6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</x:sheetData>
  <x:mergeCells>
    <x:mergeCell ref="A29:H29"/>
  </x:mergeCells>
  <x:pageMargins left="0.7" right="0.7" top="0.75" bottom="0.75" header="0.3" footer="0.3"/>
</x:worksheet>
</file>