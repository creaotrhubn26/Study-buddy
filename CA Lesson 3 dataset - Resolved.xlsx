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d\OneDrive\Documents\DA 1\CA Quiz Questions\SPF\SPF Module 2 Quiz Questions\"/>
    </mc:Choice>
  </mc:AlternateContent>
  <xr:revisionPtr revIDLastSave="0" documentId="8_{04328B21-49B4-4754-A4FC-2BAD992BEC43}" xr6:coauthVersionLast="47" xr6:coauthVersionMax="47" xr10:uidLastSave="{00000000-0000-0000-0000-000000000000}"/>
  <bookViews>
    <workbookView xWindow="-108" yWindow="-108" windowWidth="23256" windowHeight="12456" xr2:uid="{596F623B-08BB-4DE5-96B0-1C13A45A3D8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A36" i="1"/>
  <c r="A34" i="1" a="1"/>
  <c r="A34" i="1"/>
  <c r="A32" i="1"/>
  <c r="A30" i="1"/>
  <c r="A28" i="1"/>
  <c r="A26" i="1"/>
  <c r="A25" i="1"/>
  <c r="A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<sst xmlns="http://schemas.openxmlformats.org/spreadsheetml/2006/main" count="44" uniqueCount="28">
  <si>
    <t>Employee ID</t>
  </si>
  <si>
    <t>Employee Name</t>
  </si>
  <si>
    <t>Department</t>
  </si>
  <si>
    <t>Salary</t>
  </si>
  <si>
    <t>Alice</t>
  </si>
  <si>
    <t>HR</t>
  </si>
  <si>
    <t>Bob</t>
  </si>
  <si>
    <t>IT</t>
  </si>
  <si>
    <t>Carol</t>
  </si>
  <si>
    <t>Sales</t>
  </si>
  <si>
    <t>Dave</t>
  </si>
  <si>
    <t>Eve</t>
  </si>
  <si>
    <t>Frank</t>
  </si>
  <si>
    <t>Grace</t>
  </si>
  <si>
    <t>Finance</t>
  </si>
  <si>
    <t>Harry</t>
  </si>
  <si>
    <t>Irene</t>
  </si>
  <si>
    <t>Jack</t>
  </si>
  <si>
    <t>Karen</t>
  </si>
  <si>
    <t>Leo</t>
  </si>
  <si>
    <t>Maria</t>
  </si>
  <si>
    <t>Neil</t>
  </si>
  <si>
    <t>Olivia</t>
  </si>
  <si>
    <t>Paul</t>
  </si>
  <si>
    <t>Quin</t>
  </si>
  <si>
    <t>Rachel</t>
  </si>
  <si>
    <t>Sam</t>
  </si>
  <si>
    <t>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</si>
</sst>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D429-1A14-4B3C-9D2B-A5CE8B06AA48}">
  <dimension ref="A1:D38"/>
  <sheetViews>
    <sheetView tabSelected="1" workbookViewId="0">
      <selection activeCell="A38" sqref="A38"/>
    </sheetView>
  </sheetViews>
  <sheetFormatPr defaultRowHeight="14.45"/>
  <cols>
    <col min="1" max="1" width="23.85546875" bestFit="1" customWidth="1"/>
    <col min="2" max="2" width="15.140625" bestFit="1" customWidth="1"/>
    <col min="3" max="3" width="11.42578125" bestFit="1" customWidth="1"/>
    <col min="4" max="4" width="6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101</v>
      </c>
      <c r="B2" s="1" t="s">
        <v>4</v>
      </c>
      <c r="C2" s="1" t="s">
        <v>5</v>
      </c>
      <c r="D2" s="1">
        <v>50000</v>
      </c>
    </row>
    <row r="3" spans="1:4">
      <c r="A3" s="1">
        <v>102</v>
      </c>
      <c r="B3" s="1" t="s">
        <v>6</v>
      </c>
      <c r="C3" s="1" t="s">
        <v>7</v>
      </c>
      <c r="D3" s="1">
        <v>60000</v>
      </c>
    </row>
    <row r="4" spans="1:4">
      <c r="A4" s="1">
        <v>103</v>
      </c>
      <c r="B4" s="1" t="s">
        <v>8</v>
      </c>
      <c r="C4" s="1" t="s">
        <v>9</v>
      </c>
      <c r="D4" s="1">
        <v>55000</v>
      </c>
    </row>
    <row r="5" spans="1:4">
      <c r="A5" s="1">
        <v>104</v>
      </c>
      <c r="B5" s="1" t="s">
        <v>10</v>
      </c>
      <c r="C5" s="1" t="s">
        <v>7</v>
      </c>
      <c r="D5" s="1">
        <v>62000</v>
      </c>
    </row>
    <row r="6" spans="1:4">
      <c r="A6" s="1">
        <v>105</v>
      </c>
      <c r="B6" s="1" t="s">
        <v>11</v>
      </c>
      <c r="C6" s="1" t="s">
        <v>5</v>
      </c>
      <c r="D6" s="1">
        <v>48000</v>
      </c>
    </row>
    <row r="7" spans="1:4">
      <c r="A7" s="1">
        <v>106</v>
      </c>
      <c r="B7" s="1" t="s">
        <v>12</v>
      </c>
      <c r="C7" s="1" t="s">
        <v>9</v>
      </c>
      <c r="D7" s="1">
        <v>56000</v>
      </c>
    </row>
    <row r="8" spans="1:4">
      <c r="A8" s="1">
        <v>107</v>
      </c>
      <c r="B8" s="1" t="s">
        <v>13</v>
      </c>
      <c r="C8" s="1" t="s">
        <v>14</v>
      </c>
      <c r="D8" s="1">
        <v>58000</v>
      </c>
    </row>
    <row r="9" spans="1:4">
      <c r="A9" s="1">
        <v>108</v>
      </c>
      <c r="B9" s="1" t="s">
        <v>15</v>
      </c>
      <c r="C9" s="1" t="s">
        <v>7</v>
      </c>
      <c r="D9" s="1">
        <v>63000</v>
      </c>
    </row>
    <row r="10" spans="1:4">
      <c r="A10" s="1">
        <v>109</v>
      </c>
      <c r="B10" s="1" t="s">
        <v>16</v>
      </c>
      <c r="C10" s="1" t="s">
        <v>5</v>
      </c>
      <c r="D10" s="1">
        <v>52000</v>
      </c>
    </row>
    <row r="11" spans="1:4">
      <c r="A11" s="1">
        <v>110</v>
      </c>
      <c r="B11" s="1" t="s">
        <v>17</v>
      </c>
      <c r="C11" s="1" t="s">
        <v>9</v>
      </c>
      <c r="D11" s="1">
        <v>57000</v>
      </c>
    </row>
    <row r="12" spans="1:4">
      <c r="A12" s="1">
        <v>111</v>
      </c>
      <c r="B12" s="1" t="s">
        <v>18</v>
      </c>
      <c r="C12" s="1" t="s">
        <v>7</v>
      </c>
      <c r="D12" s="1">
        <v>61000</v>
      </c>
    </row>
    <row r="13" spans="1:4">
      <c r="A13" s="1">
        <v>112</v>
      </c>
      <c r="B13" s="1" t="s">
        <v>19</v>
      </c>
      <c r="C13" s="1" t="s">
        <v>14</v>
      </c>
      <c r="D13" s="1">
        <v>59000</v>
      </c>
    </row>
    <row r="14" spans="1:4">
      <c r="A14" s="1">
        <v>113</v>
      </c>
      <c r="B14" s="1" t="s">
        <v>20</v>
      </c>
      <c r="C14" s="1" t="s">
        <v>9</v>
      </c>
      <c r="D14" s="1">
        <v>54000</v>
      </c>
    </row>
    <row r="15" spans="1:4">
      <c r="A15" s="1">
        <v>114</v>
      </c>
      <c r="B15" s="1" t="s">
        <v>21</v>
      </c>
      <c r="C15" s="1" t="s">
        <v>14</v>
      </c>
      <c r="D15" s="1">
        <v>57000</v>
      </c>
    </row>
    <row r="16" spans="1:4">
      <c r="A16" s="1">
        <v>115</v>
      </c>
      <c r="B16" s="1" t="s">
        <v>22</v>
      </c>
      <c r="C16" s="1" t="s">
        <v>5</v>
      </c>
      <c r="D16" s="1">
        <v>49000</v>
      </c>
    </row>
    <row r="17" spans="1:4">
      <c r="A17" s="1">
        <v>116</v>
      </c>
      <c r="B17" s="1" t="s">
        <v>23</v>
      </c>
      <c r="C17" s="1" t="s">
        <v>7</v>
      </c>
      <c r="D17" s="1">
        <v>64000</v>
      </c>
    </row>
    <row r="18" spans="1:4">
      <c r="A18" s="1">
        <v>117</v>
      </c>
      <c r="B18" s="1" t="s">
        <v>24</v>
      </c>
      <c r="C18" s="1" t="s">
        <v>9</v>
      </c>
      <c r="D18" s="1">
        <v>58000</v>
      </c>
    </row>
    <row r="19" spans="1:4">
      <c r="A19" s="1">
        <v>118</v>
      </c>
      <c r="B19" s="1" t="s">
        <v>25</v>
      </c>
      <c r="C19" s="1" t="s">
        <v>5</v>
      </c>
      <c r="D19" s="1">
        <v>51000</v>
      </c>
    </row>
    <row r="20" spans="1:4">
      <c r="A20" s="1">
        <v>119</v>
      </c>
      <c r="B20" s="1" t="s">
        <v>26</v>
      </c>
      <c r="C20" s="1" t="s">
        <v>14</v>
      </c>
      <c r="D20" s="1">
        <v>60000</v>
      </c>
    </row>
    <row r="21" spans="1:4">
      <c r="A21" s="1">
        <v>120</v>
      </c>
      <c r="B21" s="1" t="s">
        <v>27</v>
      </c>
      <c r="C21" s="1" t="s">
        <v>7</v>
      </c>
      <c r="D21" s="1">
        <v>62000</v>
      </c>
    </row>
    <row r="23" spans="1:4" ht="15">
      <c r="A23" s="2">
        <f>VLOOKUP("Carol",B2:D21,3,FALSE)</f>
        <v>55000</v>
      </c>
    </row>
    <row r="25" spans="1:4" ht="15">
      <c r="A25" s="2" t="str">
        <f>VLOOKUP("Paul", B2:D21, 2, FALSE)</f>
        <v>IT</v>
      </c>
    </row>
    <row r="26" spans="1:4" ht="15">
      <c r="A26" s="2">
        <f>INDEX(D2:D21,MATCH("Maria",B2:B21,0))</f>
        <v>54000</v>
      </c>
    </row>
    <row r="28" spans="1:4" ht="15">
      <c r="A28" s="2">
        <f>MATCH(MAX(D2:D21),D2:D21,0)</f>
        <v>16</v>
      </c>
    </row>
    <row r="30" spans="1:4" ht="15">
      <c r="A30" s="2">
        <f ca="1">SUM(OFFSET(D2,0,0,5,1))</f>
        <v>275000</v>
      </c>
    </row>
    <row r="32" spans="1:4" ht="15">
      <c r="A32" s="2" t="str">
        <f>INDEX(C2:C21,MATCH("Irene",B2:B21,0))</f>
        <v>HR</v>
      </c>
    </row>
    <row r="34" spans="1:1" ht="15">
      <c r="A34" s="2" cm="1">
        <f t="array" aca="1" ref="A34" ca="1">INDIRECT("D15")</f>
        <v>57000</v>
      </c>
    </row>
    <row r="36" spans="1:1" ht="15">
      <c r="A36" s="2">
        <f>LOOKUP("Grace",B2:B21,D2:D21)</f>
        <v>58000</v>
      </c>
    </row>
    <row r="38" spans="1:1" ht="15">
      <c r="A38" s="2">
        <f>_xlfn.XLOOKUP("Sam",B2:B21,D2:D21)</f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Alec Du Plessis</dc:creator>
  <cp:keywords/>
  <dc:description/>
  <cp:lastModifiedBy/>
  <cp:revision/>
  <dcterms:created xsi:type="dcterms:W3CDTF">2023-10-03T08:16:22Z</dcterms:created>
  <dcterms:modified xsi:type="dcterms:W3CDTF">2026-02-19T03:13:17Z</dcterms:modified>
  <cp:category/>
  <cp:contentStatus/>
</cp:coreProperties>
</file>